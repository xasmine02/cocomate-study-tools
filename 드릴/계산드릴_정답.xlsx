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드릴1_판정" sheetId="1" state="visible" r:id="rId3"/>
    <sheet name="드릴2_시간날짜" sheetId="2" state="visible" r:id="rId4"/>
    <sheet name="드릴3_참조" sheetId="3" state="visible" r:id="rId5"/>
    <sheet name="드릴4_데이터베이스" sheetId="4" state="visible" r:id="rId6"/>
    <sheet name="드릴5_통계조건" sheetId="5" state="visible" r:id="rId7"/>
    <sheet name="드릴6_문자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<sst xmlns="http://schemas.openxmlformats.org/spreadsheetml/2006/main" count="495" uniqueCount="382">
  <si>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1] </t>
    </r>
    <r>
      <rPr>
        <b val="true"/>
        <sz val="10"/>
        <color rgb="FF0B5C30"/>
        <rFont val="WenQuanYi Zen Hei"/>
        <family val="2"/>
      </rPr>
      <t xml:space="preserve">성별</t>
    </r>
    <r>
      <rPr>
        <b val="true"/>
        <sz val="10"/>
        <color rgb="FF0B5C30"/>
        <rFont val="맑은 고딕"/>
        <family val="0"/>
        <charset val="1"/>
      </rPr>
      <t xml:space="preserve">[B3:B10]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여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이면서 출석횟수</t>
    </r>
    <r>
      <rPr>
        <b val="true"/>
        <sz val="10"/>
        <color rgb="FF0B5C30"/>
        <rFont val="맑은 고딕"/>
        <family val="0"/>
        <charset val="1"/>
      </rPr>
      <t xml:space="preserve">[C3:C10]</t>
    </r>
    <r>
      <rPr>
        <b val="true"/>
        <sz val="10"/>
        <color rgb="FF0B5C30"/>
        <rFont val="WenQuanYi Zen Hei"/>
        <family val="2"/>
      </rPr>
      <t xml:space="preserve">가 </t>
    </r>
    <r>
      <rPr>
        <b val="true"/>
        <sz val="10"/>
        <color rgb="FF0B5C30"/>
        <rFont val="맑은 고딕"/>
        <family val="0"/>
        <charset val="1"/>
      </rPr>
      <t xml:space="preserve">10 </t>
    </r>
    <r>
      <rPr>
        <b val="true"/>
        <sz val="10"/>
        <color rgb="FF0B5C30"/>
        <rFont val="WenQuanYi Zen Hei"/>
        <family val="2"/>
      </rPr>
      <t xml:space="preserve">이상이면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우수회원</t>
    </r>
    <r>
      <rPr>
        <b val="true"/>
        <sz val="10"/>
        <color rgb="FF0B5C30"/>
        <rFont val="맑은 고딕"/>
        <family val="0"/>
        <charset val="1"/>
      </rPr>
      <t xml:space="preserve">", </t>
    </r>
    <r>
      <rPr>
        <b val="true"/>
        <sz val="10"/>
        <color rgb="FF0B5C30"/>
        <rFont val="WenQuanYi Zen Hei"/>
        <family val="2"/>
      </rPr>
      <t xml:space="preserve">그 외에는 공백을 결과</t>
    </r>
    <r>
      <rPr>
        <b val="true"/>
        <sz val="10"/>
        <color rgb="FF0B5C30"/>
        <rFont val="맑은 고딕"/>
        <family val="0"/>
        <charset val="1"/>
      </rPr>
      <t xml:space="preserve">[D3:D10]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(IF, AND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</si>
  <si>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※ 노란색 셀이 수식 입력 대상입니다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</si>
  <si>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회원명</t>
  </si>
  <si>
    <t xml:space="preserve">성별</t>
  </si>
  <si>
    <t xml:space="preserve">출석횟수</t>
  </si>
  <si>
    <t xml:space="preserve">결과</t>
  </si>
  <si>
    <t xml:space="preserve">김서연</t>
  </si>
  <si>
    <t xml:space="preserve">여</t>
  </si>
  <si>
    <t xml:space="preserve">이준호</t>
  </si>
  <si>
    <t xml:space="preserve">남</t>
  </si>
  <si>
    <t xml:space="preserve">박지민</t>
  </si>
  <si>
    <t xml:space="preserve">최민준</t>
  </si>
  <si>
    <t xml:space="preserve">정하윤</t>
  </si>
  <si>
    <t xml:space="preserve">강도현</t>
  </si>
  <si>
    <t xml:space="preserve">윤소율</t>
  </si>
  <si>
    <t xml:space="preserve">임재원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</si>
  <si>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2] </t>
    </r>
    <r>
      <rPr>
        <b val="true"/>
        <sz val="10"/>
        <color rgb="FF0B5C30"/>
        <rFont val="WenQuanYi Zen Hei"/>
        <family val="2"/>
      </rPr>
      <t xml:space="preserve">자유형기록</t>
    </r>
    <r>
      <rPr>
        <b val="true"/>
        <sz val="10"/>
        <color rgb="FF0B5C30"/>
        <rFont val="맑은 고딕"/>
        <family val="0"/>
        <charset val="1"/>
      </rPr>
      <t xml:space="preserve">[C15:C22]</t>
    </r>
    <r>
      <rPr>
        <b val="true"/>
        <sz val="10"/>
        <color rgb="FF0B5C30"/>
        <rFont val="WenQuanYi Zen Hei"/>
        <family val="2"/>
      </rPr>
      <t xml:space="preserve">이 자유형 중 세 번째로 작은 값 이하이거나</t>
    </r>
    <r>
      <rPr>
        <b val="true"/>
        <sz val="10"/>
        <color rgb="FF0B5C30"/>
        <rFont val="맑은 고딕"/>
        <family val="0"/>
        <charset val="1"/>
      </rPr>
      <t xml:space="preserve">, </t>
    </r>
    <r>
      <rPr>
        <b val="true"/>
        <sz val="10"/>
        <color rgb="FF0B5C30"/>
        <rFont val="WenQuanYi Zen Hei"/>
        <family val="2"/>
      </rPr>
      <t xml:space="preserve">배영기록</t>
    </r>
    <r>
      <rPr>
        <b val="true"/>
        <sz val="10"/>
        <color rgb="FF0B5C30"/>
        <rFont val="맑은 고딕"/>
        <family val="0"/>
        <charset val="1"/>
      </rPr>
      <t xml:space="preserve">[D15:D22]</t>
    </r>
    <r>
      <rPr>
        <b val="true"/>
        <sz val="10"/>
        <color rgb="FF0B5C30"/>
        <rFont val="WenQuanYi Zen Hei"/>
        <family val="2"/>
      </rPr>
      <t xml:space="preserve">이 배영 중 세 번째로 작은 값 이하이면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본선진출</t>
    </r>
    <r>
      <rPr>
        <b val="true"/>
        <sz val="10"/>
        <color rgb="FF0B5C30"/>
        <rFont val="맑은 고딕"/>
        <family val="0"/>
        <charset val="1"/>
      </rPr>
      <t xml:space="preserve">", </t>
    </r>
    <r>
      <rPr>
        <b val="true"/>
        <sz val="10"/>
        <color rgb="FF0B5C30"/>
        <rFont val="WenQuanYi Zen Hei"/>
        <family val="2"/>
      </rPr>
      <t xml:space="preserve">그 외에는 공백을 결과</t>
    </r>
    <r>
      <rPr>
        <b val="true"/>
        <sz val="10"/>
        <color rgb="FF0B5C30"/>
        <rFont val="맑은 고딕"/>
        <family val="0"/>
        <charset val="1"/>
      </rPr>
      <t xml:space="preserve">[E15:E22]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(IF, OR, SMALL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</si>
  <si>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선수명</t>
  </si>
  <si>
    <t xml:space="preserve">소속</t>
  </si>
  <si>
    <t xml:space="preserve">자유형기록</t>
  </si>
  <si>
    <t xml:space="preserve">배영기록</t>
  </si>
  <si>
    <t xml:space="preserve">한지우</t>
  </si>
  <si>
    <t xml:space="preserve">서울</t>
  </si>
  <si>
    <t xml:space="preserve">오세훈</t>
  </si>
  <si>
    <t xml:space="preserve">부산</t>
  </si>
  <si>
    <t xml:space="preserve">서예린</t>
  </si>
  <si>
    <t xml:space="preserve">대구</t>
  </si>
  <si>
    <t xml:space="preserve">배진우</t>
  </si>
  <si>
    <t xml:space="preserve">인천</t>
  </si>
  <si>
    <t xml:space="preserve">신유나</t>
  </si>
  <si>
    <t xml:space="preserve">광주</t>
  </si>
  <si>
    <t xml:space="preserve">문성민</t>
  </si>
  <si>
    <t xml:space="preserve">대전</t>
  </si>
  <si>
    <t xml:space="preserve">홍다은</t>
  </si>
  <si>
    <t xml:space="preserve">울산</t>
  </si>
  <si>
    <t xml:space="preserve">조현우</t>
  </si>
  <si>
    <t xml:space="preserve">세종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</si>
  <si>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3] </t>
    </r>
    <r>
      <rPr>
        <b val="true"/>
        <sz val="10"/>
        <color rgb="FF0B5C30"/>
        <rFont val="WenQuanYi Zen Hei"/>
        <family val="2"/>
      </rPr>
      <t xml:space="preserve">판매량</t>
    </r>
    <r>
      <rPr>
        <b val="true"/>
        <sz val="10"/>
        <color rgb="FF0B5C30"/>
        <rFont val="맑은 고딕"/>
        <family val="0"/>
        <charset val="1"/>
      </rPr>
      <t xml:space="preserve">[C27:C34]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90 </t>
    </r>
    <r>
      <rPr>
        <b val="true"/>
        <sz val="10"/>
        <color rgb="FF0B5C30"/>
        <rFont val="WenQuanYi Zen Hei"/>
        <family val="2"/>
      </rPr>
      <t xml:space="preserve">이상이면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우수</t>
    </r>
    <r>
      <rPr>
        <b val="true"/>
        <sz val="10"/>
        <color rgb="FF0B5C30"/>
        <rFont val="맑은 고딕"/>
        <family val="0"/>
        <charset val="1"/>
      </rPr>
      <t xml:space="preserve">", 70 </t>
    </r>
    <r>
      <rPr>
        <b val="true"/>
        <sz val="10"/>
        <color rgb="FF0B5C30"/>
        <rFont val="WenQuanYi Zen Hei"/>
        <family val="2"/>
      </rPr>
      <t xml:space="preserve">이상이면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보통</t>
    </r>
    <r>
      <rPr>
        <b val="true"/>
        <sz val="10"/>
        <color rgb="FF0B5C30"/>
        <rFont val="맑은 고딕"/>
        <family val="0"/>
        <charset val="1"/>
      </rPr>
      <t xml:space="preserve">", </t>
    </r>
    <r>
      <rPr>
        <b val="true"/>
        <sz val="10"/>
        <color rgb="FF0B5C30"/>
        <rFont val="WenQuanYi Zen Hei"/>
        <family val="2"/>
      </rPr>
      <t xml:space="preserve">그 외에는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노력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을 평가</t>
    </r>
    <r>
      <rPr>
        <b val="true"/>
        <sz val="10"/>
        <color rgb="FF0B5C30"/>
        <rFont val="맑은 고딕"/>
        <family val="0"/>
        <charset val="1"/>
      </rPr>
      <t xml:space="preserve">[D27:D34]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(IF </t>
    </r>
    <r>
      <rPr>
        <b val="true"/>
        <sz val="10"/>
        <color rgb="FF0B5C30"/>
        <rFont val="WenQuanYi Zen Hei"/>
        <family val="2"/>
      </rPr>
      <t xml:space="preserve">중첩</t>
    </r>
    <r>
      <rPr>
        <b val="true"/>
        <sz val="10"/>
        <color rgb="FF0B5C30"/>
        <rFont val="맑은 고딕"/>
        <family val="0"/>
        <charset val="1"/>
      </rPr>
      <t xml:space="preserve">(3</t>
    </r>
    <r>
      <rPr>
        <b val="true"/>
        <sz val="10"/>
        <color rgb="FF0B5C30"/>
        <rFont val="WenQuanYi Zen Hei"/>
        <family val="2"/>
      </rPr>
      <t xml:space="preserve">단</t>
    </r>
    <r>
      <rPr>
        <b val="true"/>
        <sz val="10"/>
        <color rgb="FF0B5C30"/>
        <rFont val="맑은 고딕"/>
        <family val="0"/>
        <charset val="1"/>
      </rPr>
      <t xml:space="preserve">)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</si>
  <si>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대리점명</t>
  </si>
  <si>
    <t xml:space="preserve">담당자</t>
  </si>
  <si>
    <t xml:space="preserve">판매량</t>
  </si>
  <si>
    <t xml:space="preserve">평가</t>
  </si>
  <si>
    <t xml:space="preserve">강남점</t>
  </si>
  <si>
    <t xml:space="preserve">박세영</t>
  </si>
  <si>
    <t xml:space="preserve">서초점</t>
  </si>
  <si>
    <t xml:space="preserve">김태호</t>
  </si>
  <si>
    <t xml:space="preserve">마포점</t>
  </si>
  <si>
    <t xml:space="preserve">이수빈</t>
  </si>
  <si>
    <t xml:space="preserve">송파점</t>
  </si>
  <si>
    <t xml:space="preserve">정우람</t>
  </si>
  <si>
    <t xml:space="preserve">노원점</t>
  </si>
  <si>
    <t xml:space="preserve">최다혜</t>
  </si>
  <si>
    <t xml:space="preserve">은평점</t>
  </si>
  <si>
    <t xml:space="preserve">한결</t>
  </si>
  <si>
    <t xml:space="preserve">관악점</t>
  </si>
  <si>
    <t xml:space="preserve">오지환</t>
  </si>
  <si>
    <t xml:space="preserve">성동점</t>
  </si>
  <si>
    <t xml:space="preserve">유가은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</si>
  <si>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4] </t>
    </r>
    <r>
      <rPr>
        <b val="true"/>
        <sz val="10"/>
        <color rgb="FF0B5C30"/>
        <rFont val="WenQuanYi Zen Hei"/>
        <family val="2"/>
      </rPr>
      <t xml:space="preserve">개강일</t>
    </r>
    <r>
      <rPr>
        <b val="true"/>
        <sz val="10"/>
        <color rgb="FF0B5C30"/>
        <rFont val="맑은 고딕"/>
        <family val="0"/>
        <charset val="1"/>
      </rPr>
      <t xml:space="preserve">[B39:B46]</t>
    </r>
    <r>
      <rPr>
        <b val="true"/>
        <sz val="10"/>
        <color rgb="FF0B5C30"/>
        <rFont val="WenQuanYi Zen Hei"/>
        <family val="2"/>
      </rPr>
      <t xml:space="preserve">이 주말</t>
    </r>
    <r>
      <rPr>
        <b val="true"/>
        <sz val="10"/>
        <color rgb="FF0B5C30"/>
        <rFont val="맑은 고딕"/>
        <family val="0"/>
        <charset val="1"/>
      </rPr>
      <t xml:space="preserve">(</t>
    </r>
    <r>
      <rPr>
        <b val="true"/>
        <sz val="10"/>
        <color rgb="FF0B5C30"/>
        <rFont val="WenQuanYi Zen Hei"/>
        <family val="2"/>
      </rPr>
      <t xml:space="preserve">토</t>
    </r>
    <r>
      <rPr>
        <b val="true"/>
        <sz val="10"/>
        <color rgb="FF0B5C30"/>
        <rFont val="맑은 고딕"/>
        <family val="0"/>
        <charset val="1"/>
      </rPr>
      <t xml:space="preserve">·</t>
    </r>
    <r>
      <rPr>
        <b val="true"/>
        <sz val="10"/>
        <color rgb="FF0B5C30"/>
        <rFont val="WenQuanYi Zen Hei"/>
        <family val="2"/>
      </rPr>
      <t xml:space="preserve">일</t>
    </r>
    <r>
      <rPr>
        <b val="true"/>
        <sz val="10"/>
        <color rgb="FF0B5C30"/>
        <rFont val="맑은 고딕"/>
        <family val="0"/>
        <charset val="1"/>
      </rPr>
      <t xml:space="preserve">)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주말반</t>
    </r>
    <r>
      <rPr>
        <b val="true"/>
        <sz val="10"/>
        <color rgb="FF0B5C30"/>
        <rFont val="맑은 고딕"/>
        <family val="0"/>
        <charset val="1"/>
      </rPr>
      <t xml:space="preserve">", </t>
    </r>
    <r>
      <rPr>
        <b val="true"/>
        <sz val="10"/>
        <color rgb="FF0B5C30"/>
        <rFont val="WenQuanYi Zen Hei"/>
        <family val="2"/>
      </rPr>
      <t xml:space="preserve">평일이면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평일반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을 구분</t>
    </r>
    <r>
      <rPr>
        <b val="true"/>
        <sz val="10"/>
        <color rgb="FF0B5C30"/>
        <rFont val="맑은 고딕"/>
        <family val="0"/>
        <charset val="1"/>
      </rPr>
      <t xml:space="preserve">[C39:C46]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</t>
    </r>
    <r>
      <rPr>
        <b val="true"/>
        <sz val="10"/>
        <color rgb="FF0B5C30"/>
        <rFont val="WenQuanYi Zen Hei"/>
        <family val="2"/>
      </rPr>
      <t xml:space="preserve">월요일이 </t>
    </r>
    <r>
      <rPr>
        <b val="true"/>
        <sz val="10"/>
        <color rgb="FF0B5C30"/>
        <rFont val="맑은 고딕"/>
        <family val="0"/>
        <charset val="1"/>
      </rPr>
      <t xml:space="preserve">1</t>
    </r>
    <r>
      <rPr>
        <b val="true"/>
        <sz val="10"/>
        <color rgb="FF0B5C30"/>
        <rFont val="WenQuanYi Zen Hei"/>
        <family val="2"/>
      </rPr>
      <t xml:space="preserve">이 되도록 옵션 지정</t>
    </r>
    <r>
      <rPr>
        <b val="true"/>
        <sz val="10"/>
        <color rgb="FF0B5C30"/>
        <rFont val="맑은 고딕"/>
        <family val="0"/>
        <charset val="1"/>
      </rPr>
      <t xml:space="preserve">) (IF, WEEKDAY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</si>
  <si>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강좌명</t>
  </si>
  <si>
    <t xml:space="preserve">개강일</t>
  </si>
  <si>
    <t xml:space="preserve">구분</t>
  </si>
  <si>
    <t xml:space="preserve">요가교실</t>
  </si>
  <si>
    <t xml:space="preserve">캘리그라피</t>
  </si>
  <si>
    <t xml:space="preserve">바리스타입문</t>
  </si>
  <si>
    <t xml:space="preserve">어린이미술</t>
  </si>
  <si>
    <t xml:space="preserve">통기타</t>
  </si>
  <si>
    <t xml:space="preserve">홈베이킹</t>
  </si>
  <si>
    <t xml:space="preserve">스마트폰활용</t>
  </si>
  <si>
    <t xml:space="preserve">생활원예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</si>
  <si>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1] </t>
    </r>
    <r>
      <rPr>
        <b val="true"/>
        <sz val="10"/>
        <color rgb="FF0B5C30"/>
        <rFont val="WenQuanYi Zen Hei"/>
        <family val="2"/>
      </rPr>
      <t xml:space="preserve">입실시간</t>
    </r>
    <r>
      <rPr>
        <b val="true"/>
        <sz val="10"/>
        <color rgb="FF0B5C30"/>
        <rFont val="맑은 고딕"/>
        <family val="0"/>
        <charset val="1"/>
      </rPr>
      <t xml:space="preserve">[B3:B10]</t>
    </r>
    <r>
      <rPr>
        <b val="true"/>
        <sz val="10"/>
        <color rgb="FF0B5C30"/>
        <rFont val="WenQuanYi Zen Hei"/>
        <family val="2"/>
      </rPr>
      <t xml:space="preserve">과 퇴실시간</t>
    </r>
    <r>
      <rPr>
        <b val="true"/>
        <sz val="10"/>
        <color rgb="FF0B5C30"/>
        <rFont val="맑은 고딕"/>
        <family val="0"/>
        <charset val="1"/>
      </rPr>
      <t xml:space="preserve">[C3:C10]</t>
    </r>
    <r>
      <rPr>
        <b val="true"/>
        <sz val="10"/>
        <color rgb="FF0B5C30"/>
        <rFont val="WenQuanYi Zen Hei"/>
        <family val="2"/>
      </rPr>
      <t xml:space="preserve">을 이용하여 요금</t>
    </r>
    <r>
      <rPr>
        <b val="true"/>
        <sz val="10"/>
        <color rgb="FF0B5C30"/>
        <rFont val="맑은 고딕"/>
        <family val="0"/>
        <charset val="1"/>
      </rPr>
      <t xml:space="preserve">[D3:D10]</t>
    </r>
    <r>
      <rPr>
        <b val="true"/>
        <sz val="10"/>
        <color rgb="FF0B5C30"/>
        <rFont val="WenQuanYi Zen Hei"/>
        <family val="2"/>
      </rPr>
      <t xml:space="preserve">을 계산하시오</t>
    </r>
    <r>
      <rPr>
        <b val="true"/>
        <sz val="10"/>
        <color rgb="FF0B5C30"/>
        <rFont val="맑은 고딕"/>
        <family val="0"/>
        <charset val="1"/>
      </rPr>
      <t xml:space="preserve">. ▶ </t>
    </r>
    <r>
      <rPr>
        <b val="true"/>
        <sz val="10"/>
        <color rgb="FF0B5C30"/>
        <rFont val="WenQuanYi Zen Hei"/>
        <family val="2"/>
      </rPr>
      <t xml:space="preserve">요금 </t>
    </r>
    <r>
      <rPr>
        <b val="true"/>
        <sz val="10"/>
        <color rgb="FF0B5C30"/>
        <rFont val="맑은 고딕"/>
        <family val="0"/>
        <charset val="1"/>
      </rPr>
      <t xml:space="preserve">= </t>
    </r>
    <r>
      <rPr>
        <b val="true"/>
        <sz val="10"/>
        <color rgb="FF0B5C30"/>
        <rFont val="WenQuanYi Zen Hei"/>
        <family val="2"/>
      </rPr>
      <t xml:space="preserve">총 이용시간</t>
    </r>
    <r>
      <rPr>
        <b val="true"/>
        <sz val="10"/>
        <color rgb="FF0B5C30"/>
        <rFont val="맑은 고딕"/>
        <family val="0"/>
        <charset val="1"/>
      </rPr>
      <t xml:space="preserve">(</t>
    </r>
    <r>
      <rPr>
        <b val="true"/>
        <sz val="10"/>
        <color rgb="FF0B5C30"/>
        <rFont val="WenQuanYi Zen Hei"/>
        <family val="2"/>
      </rPr>
      <t xml:space="preserve">분</t>
    </r>
    <r>
      <rPr>
        <b val="true"/>
        <sz val="10"/>
        <color rgb="FF0B5C30"/>
        <rFont val="맑은 고딕"/>
        <family val="0"/>
        <charset val="1"/>
      </rPr>
      <t xml:space="preserve">) × 50 (HOUR, MINUTE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</si>
  <si>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입실시간</t>
  </si>
  <si>
    <t xml:space="preserve">퇴실시간</t>
  </si>
  <si>
    <t xml:space="preserve">요금</t>
  </si>
  <si>
    <t xml:space="preserve">강민아</t>
  </si>
  <si>
    <t xml:space="preserve">노유섭</t>
  </si>
  <si>
    <t xml:space="preserve">백하람</t>
  </si>
  <si>
    <t xml:space="preserve">송채원</t>
  </si>
  <si>
    <t xml:space="preserve">이강혁</t>
  </si>
  <si>
    <t xml:space="preserve">장서윤</t>
  </si>
  <si>
    <t xml:space="preserve">전도빈</t>
  </si>
  <si>
    <t xml:space="preserve">황미소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</si>
  <si>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2] </t>
    </r>
    <r>
      <rPr>
        <b val="true"/>
        <sz val="10"/>
        <color rgb="FF0B5C30"/>
        <rFont val="WenQuanYi Zen Hei"/>
        <family val="2"/>
      </rPr>
      <t xml:space="preserve">종료시간</t>
    </r>
    <r>
      <rPr>
        <b val="true"/>
        <sz val="10"/>
        <color rgb="FF0B5C30"/>
        <rFont val="맑은 고딕"/>
        <family val="0"/>
        <charset val="1"/>
      </rPr>
      <t xml:space="preserve">[C15:C22]</t>
    </r>
    <r>
      <rPr>
        <b val="true"/>
        <sz val="10"/>
        <color rgb="FF0B5C30"/>
        <rFont val="WenQuanYi Zen Hei"/>
        <family val="2"/>
      </rPr>
      <t xml:space="preserve">과 시작시간</t>
    </r>
    <r>
      <rPr>
        <b val="true"/>
        <sz val="10"/>
        <color rgb="FF0B5C30"/>
        <rFont val="맑은 고딕"/>
        <family val="0"/>
        <charset val="1"/>
      </rPr>
      <t xml:space="preserve">[B15:B22]</t>
    </r>
    <r>
      <rPr>
        <b val="true"/>
        <sz val="10"/>
        <color rgb="FF0B5C30"/>
        <rFont val="WenQuanYi Zen Hei"/>
        <family val="2"/>
      </rPr>
      <t xml:space="preserve">의 차이에서 분이 </t>
    </r>
    <r>
      <rPr>
        <b val="true"/>
        <sz val="10"/>
        <color rgb="FF0B5C30"/>
        <rFont val="맑은 고딕"/>
        <family val="0"/>
        <charset val="1"/>
      </rPr>
      <t xml:space="preserve">30 </t>
    </r>
    <r>
      <rPr>
        <b val="true"/>
        <sz val="10"/>
        <color rgb="FF0B5C30"/>
        <rFont val="WenQuanYi Zen Hei"/>
        <family val="2"/>
      </rPr>
      <t xml:space="preserve">이상이면 시</t>
    </r>
    <r>
      <rPr>
        <b val="true"/>
        <sz val="10"/>
        <color rgb="FF0B5C30"/>
        <rFont val="맑은 고딕"/>
        <family val="0"/>
        <charset val="1"/>
      </rPr>
      <t xml:space="preserve">(HOUR)</t>
    </r>
    <r>
      <rPr>
        <b val="true"/>
        <sz val="10"/>
        <color rgb="FF0B5C30"/>
        <rFont val="WenQuanYi Zen Hei"/>
        <family val="2"/>
      </rPr>
      <t xml:space="preserve">에 </t>
    </r>
    <r>
      <rPr>
        <b val="true"/>
        <sz val="10"/>
        <color rgb="FF0B5C30"/>
        <rFont val="맑은 고딕"/>
        <family val="0"/>
        <charset val="1"/>
      </rPr>
      <t xml:space="preserve">1</t>
    </r>
    <r>
      <rPr>
        <b val="true"/>
        <sz val="10"/>
        <color rgb="FF0B5C30"/>
        <rFont val="WenQuanYi Zen Hei"/>
        <family val="2"/>
      </rPr>
      <t xml:space="preserve">을 더하고</t>
    </r>
    <r>
      <rPr>
        <b val="true"/>
        <sz val="10"/>
        <color rgb="FF0B5C30"/>
        <rFont val="맑은 고딕"/>
        <family val="0"/>
        <charset val="1"/>
      </rPr>
      <t xml:space="preserve">, </t>
    </r>
    <r>
      <rPr>
        <b val="true"/>
        <sz val="10"/>
        <color rgb="FF0B5C30"/>
        <rFont val="WenQuanYi Zen Hei"/>
        <family val="2"/>
      </rPr>
      <t xml:space="preserve">그 외에는 시만 취하여 이용시간</t>
    </r>
    <r>
      <rPr>
        <b val="true"/>
        <sz val="10"/>
        <color rgb="FF0B5C30"/>
        <rFont val="맑은 고딕"/>
        <family val="0"/>
        <charset val="1"/>
      </rPr>
      <t xml:space="preserve">[D15:D22]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(IF, HOUR, MINUTE,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</si>
  <si>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회의실</t>
  </si>
  <si>
    <t xml:space="preserve">시작시간</t>
  </si>
  <si>
    <t xml:space="preserve">종료시간</t>
  </si>
  <si>
    <t xml:space="preserve">이용시간</t>
  </si>
  <si>
    <r>
      <rPr>
        <sz val="10"/>
        <rFont val="WenQuanYi Zen Hei"/>
        <family val="2"/>
      </rPr>
      <t xml:space="preserve">세미나실</t>
    </r>
    <r>
      <rPr>
        <sz val="10"/>
        <rFont val="맑은 고딕"/>
        <family val="0"/>
        <charset val="1"/>
      </rPr>
      <t xml:space="preserve">A</t>
    </r>
  </si>
  <si>
    <r>
      <rPr>
        <sz val="10"/>
        <rFont val="WenQuanYi Zen Hei"/>
        <family val="2"/>
      </rPr>
      <t xml:space="preserve">세미나실</t>
    </r>
    <r>
      <rPr>
        <sz val="10"/>
        <rFont val="맑은 고딕"/>
        <family val="0"/>
        <charset val="1"/>
      </rPr>
      <t xml:space="preserve">B</t>
    </r>
  </si>
  <si>
    <t xml:space="preserve">대회의실</t>
  </si>
  <si>
    <t xml:space="preserve">소회의실</t>
  </si>
  <si>
    <t xml:space="preserve">스튜디오</t>
  </si>
  <si>
    <r>
      <rPr>
        <sz val="10"/>
        <rFont val="WenQuanYi Zen Hei"/>
        <family val="2"/>
      </rPr>
      <t xml:space="preserve">강의실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</si>
  <si>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강의실</t>
    </r>
    <r>
      <rPr>
        <sz val="10"/>
        <rFont val="맑은 고딕"/>
        <family val="0"/>
        <charset val="1"/>
      </rPr>
      <t xml:space="preserve">2</t>
    </r>
  </si>
  <si>
    <t xml:space="preserve">미디어룸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</si>
  <si>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3] </t>
    </r>
    <r>
      <rPr>
        <b val="true"/>
        <sz val="10"/>
        <color rgb="FF0B5C30"/>
        <rFont val="WenQuanYi Zen Hei"/>
        <family val="2"/>
      </rPr>
      <t xml:space="preserve">기준일</t>
    </r>
    <r>
      <rPr>
        <b val="true"/>
        <sz val="10"/>
        <color rgb="FF0B5C30"/>
        <rFont val="맑은 고딕"/>
        <family val="0"/>
        <charset val="1"/>
      </rPr>
      <t xml:space="preserve">[G26]</t>
    </r>
    <r>
      <rPr>
        <b val="true"/>
        <sz val="10"/>
        <color rgb="FF0B5C30"/>
        <rFont val="WenQuanYi Zen Hei"/>
        <family val="2"/>
      </rPr>
      <t xml:space="preserve">의 연도에서 입사일</t>
    </r>
    <r>
      <rPr>
        <b val="true"/>
        <sz val="10"/>
        <color rgb="FF0B5C30"/>
        <rFont val="맑은 고딕"/>
        <family val="0"/>
        <charset val="1"/>
      </rPr>
      <t xml:space="preserve">[B27:B34]</t>
    </r>
    <r>
      <rPr>
        <b val="true"/>
        <sz val="10"/>
        <color rgb="FF0B5C30"/>
        <rFont val="WenQuanYi Zen Hei"/>
        <family val="2"/>
      </rPr>
      <t xml:space="preserve">의 연도를 뺀 값을 구하여 근속연수</t>
    </r>
    <r>
      <rPr>
        <b val="true"/>
        <sz val="10"/>
        <color rgb="FF0B5C30"/>
        <rFont val="맑은 고딕"/>
        <family val="0"/>
        <charset val="1"/>
      </rPr>
      <t xml:space="preserve">[D27:D34]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(YEAR,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</si>
  <si>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r>
      <rPr>
        <b val="true"/>
        <sz val="9"/>
        <color rgb="FF0B5C30"/>
        <rFont val="맑은 고딕"/>
        <family val="0"/>
        <charset val="1"/>
      </rPr>
      <t xml:space="preserve">[</t>
    </r>
    <r>
      <rPr>
        <b val="true"/>
        <sz val="9"/>
        <color rgb="FF0B5C30"/>
        <rFont val="WenQuanYi Zen Hei"/>
        <family val="2"/>
      </rPr>
      <t xml:space="preserve">기준일</t>
    </r>
    <r>
      <rPr>
        <b val="true"/>
        <sz val="9"/>
        <color rgb="FF0B5C30"/>
        <rFont val="맑은 고딕"/>
        <family val="0"/>
        <charset val="1"/>
      </rPr>
      <t xml:space="preserve">]</t>
    </r>
  </si>
  <si>
    <t xml:space="preserve">사원명</t>
  </si>
  <si>
    <t xml:space="preserve">입사일</t>
  </si>
  <si>
    <t xml:space="preserve">부서</t>
  </si>
  <si>
    <t xml:space="preserve">근속연수</t>
  </si>
  <si>
    <t xml:space="preserve">기준일</t>
  </si>
  <si>
    <t xml:space="preserve">구자철</t>
  </si>
  <si>
    <t xml:space="preserve">총무부</t>
  </si>
  <si>
    <t xml:space="preserve">문가영</t>
  </si>
  <si>
    <t xml:space="preserve">영업부</t>
  </si>
  <si>
    <t xml:space="preserve">박보검</t>
  </si>
  <si>
    <t xml:space="preserve">기획부</t>
  </si>
  <si>
    <t xml:space="preserve">신세경</t>
  </si>
  <si>
    <t xml:space="preserve">안재홍</t>
  </si>
  <si>
    <t xml:space="preserve">전산부</t>
  </si>
  <si>
    <t xml:space="preserve">이도희</t>
  </si>
  <si>
    <t xml:space="preserve">차은우</t>
  </si>
  <si>
    <t xml:space="preserve">한소희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</si>
  <si>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4] </t>
    </r>
    <r>
      <rPr>
        <b val="true"/>
        <sz val="10"/>
        <color rgb="FF0B5C30"/>
        <rFont val="WenQuanYi Zen Hei"/>
        <family val="2"/>
      </rPr>
      <t xml:space="preserve">개최일</t>
    </r>
    <r>
      <rPr>
        <b val="true"/>
        <sz val="10"/>
        <color rgb="FF0B5C30"/>
        <rFont val="맑은 고딕"/>
        <family val="0"/>
        <charset val="1"/>
      </rPr>
      <t xml:space="preserve">[B39:B46]</t>
    </r>
    <r>
      <rPr>
        <b val="true"/>
        <sz val="10"/>
        <color rgb="FF0B5C30"/>
        <rFont val="WenQuanYi Zen Hei"/>
        <family val="2"/>
      </rPr>
      <t xml:space="preserve">의 요일을 구하여 요일</t>
    </r>
    <r>
      <rPr>
        <b val="true"/>
        <sz val="10"/>
        <color rgb="FF0B5C30"/>
        <rFont val="맑은 고딕"/>
        <family val="0"/>
        <charset val="1"/>
      </rPr>
      <t xml:space="preserve">[C39:C46]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</t>
    </r>
    <r>
      <rPr>
        <b val="true"/>
        <sz val="10"/>
        <color rgb="FF0B5C30"/>
        <rFont val="WenQuanYi Zen Hei"/>
        <family val="2"/>
      </rPr>
      <t xml:space="preserve">일요일이 </t>
    </r>
    <r>
      <rPr>
        <b val="true"/>
        <sz val="10"/>
        <color rgb="FF0B5C30"/>
        <rFont val="맑은 고딕"/>
        <family val="0"/>
        <charset val="1"/>
      </rPr>
      <t xml:space="preserve">1</t>
    </r>
    <r>
      <rPr>
        <b val="true"/>
        <sz val="10"/>
        <color rgb="FF0B5C30"/>
        <rFont val="WenQuanYi Zen Hei"/>
        <family val="2"/>
      </rPr>
      <t xml:space="preserve">이 되도록 지정</t>
    </r>
    <r>
      <rPr>
        <b val="true"/>
        <sz val="10"/>
        <color rgb="FF0B5C30"/>
        <rFont val="맑은 고딕"/>
        <family val="0"/>
        <charset val="1"/>
      </rPr>
      <t xml:space="preserve">) (CHOOSE, WEEKDAY,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</si>
  <si>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축제명</t>
  </si>
  <si>
    <t xml:space="preserve">개최일</t>
  </si>
  <si>
    <t xml:space="preserve">요일</t>
  </si>
  <si>
    <t xml:space="preserve">벚꽃축제</t>
  </si>
  <si>
    <t xml:space="preserve">딸기축제</t>
  </si>
  <si>
    <t xml:space="preserve">한지문화제</t>
  </si>
  <si>
    <t xml:space="preserve">머드축제</t>
  </si>
  <si>
    <t xml:space="preserve">불꽃축제</t>
  </si>
  <si>
    <t xml:space="preserve">국화축제</t>
  </si>
  <si>
    <t xml:space="preserve">도자기축제</t>
  </si>
  <si>
    <t xml:space="preserve">커피축제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</si>
  <si>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1] </t>
    </r>
    <r>
      <rPr>
        <b val="true"/>
        <sz val="10"/>
        <color rgb="FF0B5C30"/>
        <rFont val="WenQuanYi Zen Hei"/>
        <family val="2"/>
      </rPr>
      <t xml:space="preserve">상품코드</t>
    </r>
    <r>
      <rPr>
        <b val="true"/>
        <sz val="10"/>
        <color rgb="FF0B5C30"/>
        <rFont val="맑은 고딕"/>
        <family val="0"/>
        <charset val="1"/>
      </rPr>
      <t xml:space="preserve">[A3:A10]</t>
    </r>
    <r>
      <rPr>
        <b val="true"/>
        <sz val="10"/>
        <color rgb="FF0B5C30"/>
        <rFont val="WenQuanYi Zen Hei"/>
        <family val="2"/>
      </rPr>
      <t xml:space="preserve">의 앞 </t>
    </r>
    <r>
      <rPr>
        <b val="true"/>
        <sz val="10"/>
        <color rgb="FF0B5C30"/>
        <rFont val="맑은 고딕"/>
        <family val="0"/>
        <charset val="1"/>
      </rPr>
      <t xml:space="preserve">2</t>
    </r>
    <r>
      <rPr>
        <b val="true"/>
        <sz val="10"/>
        <color rgb="FF0B5C30"/>
        <rFont val="WenQuanYi Zen Hei"/>
        <family val="2"/>
      </rPr>
      <t xml:space="preserve">글자를 이용하여 분류표</t>
    </r>
    <r>
      <rPr>
        <b val="true"/>
        <sz val="10"/>
        <color rgb="FF0B5C30"/>
        <rFont val="맑은 고딕"/>
        <family val="0"/>
        <charset val="1"/>
      </rPr>
      <t xml:space="preserve">[G2:H5]</t>
    </r>
    <r>
      <rPr>
        <b val="true"/>
        <sz val="10"/>
        <color rgb="FF0B5C30"/>
        <rFont val="WenQuanYi Zen Hei"/>
        <family val="2"/>
      </rPr>
      <t xml:space="preserve">에서 분류명을 찾아 분류</t>
    </r>
    <r>
      <rPr>
        <b val="true"/>
        <sz val="10"/>
        <color rgb="FF0B5C30"/>
        <rFont val="맑은 고딕"/>
        <family val="0"/>
        <charset val="1"/>
      </rPr>
      <t xml:space="preserve">[C3:C10]</t>
    </r>
    <r>
      <rPr>
        <b val="true"/>
        <sz val="10"/>
        <color rgb="FF0B5C30"/>
        <rFont val="WenQuanYi Zen Hei"/>
        <family val="2"/>
      </rPr>
      <t xml:space="preserve">에 표시하되</t>
    </r>
    <r>
      <rPr>
        <b val="true"/>
        <sz val="10"/>
        <color rgb="FF0B5C30"/>
        <rFont val="맑은 고딕"/>
        <family val="0"/>
        <charset val="1"/>
      </rPr>
      <t xml:space="preserve">, </t>
    </r>
    <r>
      <rPr>
        <b val="true"/>
        <sz val="10"/>
        <color rgb="FF0B5C30"/>
        <rFont val="WenQuanYi Zen Hei"/>
        <family val="2"/>
      </rPr>
      <t xml:space="preserve">분류표에 없는 코드는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코드오류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로 표시하시오</t>
    </r>
    <r>
      <rPr>
        <b val="true"/>
        <sz val="10"/>
        <color rgb="FF0B5C30"/>
        <rFont val="맑은 고딕"/>
        <family val="0"/>
        <charset val="1"/>
      </rPr>
      <t xml:space="preserve">. (IFERROR, VLOOKUP, LEFT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</si>
  <si>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r>
      <rPr>
        <b val="true"/>
        <sz val="9"/>
        <color rgb="FF0B5C30"/>
        <rFont val="맑은 고딕"/>
        <family val="0"/>
        <charset val="1"/>
      </rPr>
      <t xml:space="preserve">[</t>
    </r>
    <r>
      <rPr>
        <b val="true"/>
        <sz val="9"/>
        <color rgb="FF0B5C30"/>
        <rFont val="WenQuanYi Zen Hei"/>
        <family val="2"/>
      </rPr>
      <t xml:space="preserve">분류표</t>
    </r>
    <r>
      <rPr>
        <b val="true"/>
        <sz val="9"/>
        <color rgb="FF0B5C30"/>
        <rFont val="맑은 고딕"/>
        <family val="0"/>
        <charset val="1"/>
      </rPr>
      <t xml:space="preserve">]</t>
    </r>
  </si>
  <si>
    <t xml:space="preserve">상품코드</t>
  </si>
  <si>
    <t xml:space="preserve">상품명</t>
  </si>
  <si>
    <t xml:space="preserve">분류</t>
  </si>
  <si>
    <t xml:space="preserve">코드</t>
  </si>
  <si>
    <t xml:space="preserve">분류명</t>
  </si>
  <si>
    <t xml:space="preserve">NB-101</t>
  </si>
  <si>
    <r>
      <rPr>
        <sz val="10"/>
        <rFont val="WenQuanYi Zen Hei"/>
        <family val="2"/>
      </rPr>
      <t xml:space="preserve">울트라북</t>
    </r>
    <r>
      <rPr>
        <sz val="10"/>
        <rFont val="맑은 고딕"/>
        <family val="0"/>
        <charset val="1"/>
      </rPr>
      <t xml:space="preserve">15</t>
    </r>
  </si>
  <si>
    <t xml:space="preserve">NB</t>
  </si>
  <si>
    <t xml:space="preserve">노트북</t>
  </si>
  <si>
    <t xml:space="preserve">TV-205</t>
  </si>
  <si>
    <r>
      <rPr>
        <sz val="10"/>
        <rFont val="WenQuanYi Zen Hei"/>
        <family val="2"/>
      </rPr>
      <t xml:space="preserve">스마트</t>
    </r>
    <r>
      <rPr>
        <sz val="10"/>
        <rFont val="맑은 고딕"/>
        <family val="0"/>
        <charset val="1"/>
      </rPr>
      <t xml:space="preserve">TV55</t>
    </r>
  </si>
  <si>
    <t xml:space="preserve">TV</t>
  </si>
  <si>
    <t xml:space="preserve">텔레비전</t>
  </si>
  <si>
    <t xml:space="preserve">RF-330</t>
  </si>
  <si>
    <r>
      <rPr>
        <sz val="10"/>
        <rFont val="WenQuanYi Zen Hei"/>
        <family val="2"/>
      </rPr>
      <t xml:space="preserve">양문형</t>
    </r>
    <r>
      <rPr>
        <sz val="10"/>
        <rFont val="맑은 고딕"/>
        <family val="0"/>
        <charset val="1"/>
      </rPr>
      <t xml:space="preserve">850</t>
    </r>
  </si>
  <si>
    <t xml:space="preserve">RF</t>
  </si>
  <si>
    <t xml:space="preserve">냉장고</t>
  </si>
  <si>
    <t xml:space="preserve">NB-112</t>
  </si>
  <si>
    <r>
      <rPr>
        <sz val="10"/>
        <rFont val="WenQuanYi Zen Hei"/>
        <family val="2"/>
      </rPr>
      <t xml:space="preserve">그램</t>
    </r>
    <r>
      <rPr>
        <sz val="10"/>
        <rFont val="맑은 고딕"/>
        <family val="0"/>
        <charset val="1"/>
      </rPr>
      <t xml:space="preserve">360</t>
    </r>
  </si>
  <si>
    <t xml:space="preserve">AC-401</t>
  </si>
  <si>
    <t xml:space="preserve">무풍에어컨</t>
  </si>
  <si>
    <t xml:space="preserve">TV-218</t>
  </si>
  <si>
    <t xml:space="preserve">QLED65</t>
  </si>
  <si>
    <t xml:space="preserve">WM-509</t>
  </si>
  <si>
    <t xml:space="preserve">드럼세탁기</t>
  </si>
  <si>
    <t xml:space="preserve">RF-345</t>
  </si>
  <si>
    <t xml:space="preserve">김치냉장고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</si>
  <si>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2] </t>
    </r>
    <r>
      <rPr>
        <b val="true"/>
        <sz val="10"/>
        <color rgb="FF0B5C30"/>
        <rFont val="WenQuanYi Zen Hei"/>
        <family val="2"/>
      </rPr>
      <t xml:space="preserve">고객코드</t>
    </r>
    <r>
      <rPr>
        <b val="true"/>
        <sz val="10"/>
        <color rgb="FF0B5C30"/>
        <rFont val="맑은 고딕"/>
        <family val="0"/>
        <charset val="1"/>
      </rPr>
      <t xml:space="preserve">[A15:A22]</t>
    </r>
    <r>
      <rPr>
        <b val="true"/>
        <sz val="10"/>
        <color rgb="FF0B5C30"/>
        <rFont val="WenQuanYi Zen Hei"/>
        <family val="2"/>
      </rPr>
      <t xml:space="preserve">의 </t>
    </r>
    <r>
      <rPr>
        <b val="true"/>
        <sz val="10"/>
        <color rgb="FF0B5C30"/>
        <rFont val="맑은 고딕"/>
        <family val="0"/>
        <charset val="1"/>
      </rPr>
      <t xml:space="preserve">3</t>
    </r>
    <r>
      <rPr>
        <b val="true"/>
        <sz val="10"/>
        <color rgb="FF0B5C30"/>
        <rFont val="WenQuanYi Zen Hei"/>
        <family val="2"/>
      </rPr>
      <t xml:space="preserve">번째부터 </t>
    </r>
    <r>
      <rPr>
        <b val="true"/>
        <sz val="10"/>
        <color rgb="FF0B5C30"/>
        <rFont val="맑은 고딕"/>
        <family val="0"/>
        <charset val="1"/>
      </rPr>
      <t xml:space="preserve">4</t>
    </r>
    <r>
      <rPr>
        <b val="true"/>
        <sz val="10"/>
        <color rgb="FF0B5C30"/>
        <rFont val="WenQuanYi Zen Hei"/>
        <family val="2"/>
      </rPr>
      <t xml:space="preserve">글자</t>
    </r>
    <r>
      <rPr>
        <b val="true"/>
        <sz val="10"/>
        <color rgb="FF0B5C30"/>
        <rFont val="맑은 고딕"/>
        <family val="0"/>
        <charset val="1"/>
      </rPr>
      <t xml:space="preserve">(</t>
    </r>
    <r>
      <rPr>
        <b val="true"/>
        <sz val="10"/>
        <color rgb="FF0B5C30"/>
        <rFont val="WenQuanYi Zen Hei"/>
        <family val="2"/>
      </rPr>
      <t xml:space="preserve">포인트</t>
    </r>
    <r>
      <rPr>
        <b val="true"/>
        <sz val="10"/>
        <color rgb="FF0B5C30"/>
        <rFont val="맑은 고딕"/>
        <family val="0"/>
        <charset val="1"/>
      </rPr>
      <t xml:space="preserve">)</t>
    </r>
    <r>
      <rPr>
        <b val="true"/>
        <sz val="10"/>
        <color rgb="FF0B5C30"/>
        <rFont val="WenQuanYi Zen Hei"/>
        <family val="2"/>
      </rPr>
      <t xml:space="preserve">를 숫자로 변환한 후</t>
    </r>
    <r>
      <rPr>
        <b val="true"/>
        <sz val="10"/>
        <color rgb="FF0B5C30"/>
        <rFont val="맑은 고딕"/>
        <family val="0"/>
        <charset val="1"/>
      </rPr>
      <t xml:space="preserve">, </t>
    </r>
    <r>
      <rPr>
        <b val="true"/>
        <sz val="10"/>
        <color rgb="FF0B5C30"/>
        <rFont val="WenQuanYi Zen Hei"/>
        <family val="2"/>
      </rPr>
      <t xml:space="preserve">등급표</t>
    </r>
    <r>
      <rPr>
        <b val="true"/>
        <sz val="10"/>
        <color rgb="FF0B5C30"/>
        <rFont val="맑은 고딕"/>
        <family val="0"/>
        <charset val="1"/>
      </rPr>
      <t xml:space="preserve">[G14:I15]</t>
    </r>
    <r>
      <rPr>
        <b val="true"/>
        <sz val="10"/>
        <color rgb="FF0B5C30"/>
        <rFont val="WenQuanYi Zen Hei"/>
        <family val="2"/>
      </rPr>
      <t xml:space="preserve">를 참조하여 등급</t>
    </r>
    <r>
      <rPr>
        <b val="true"/>
        <sz val="10"/>
        <color rgb="FF0B5C30"/>
        <rFont val="맑은 고딕"/>
        <family val="0"/>
        <charset val="1"/>
      </rPr>
      <t xml:space="preserve">[C15:C22]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(HLOOKUP, MID (</t>
    </r>
    <r>
      <rPr>
        <b val="true"/>
        <sz val="10"/>
        <color rgb="FF0B5C30"/>
        <rFont val="WenQuanYi Zen Hei"/>
        <family val="2"/>
      </rPr>
      <t xml:space="preserve">근사 매치</t>
    </r>
    <r>
      <rPr>
        <b val="true"/>
        <sz val="10"/>
        <color rgb="FF0B5C30"/>
        <rFont val="맑은 고딕"/>
        <family val="0"/>
        <charset val="1"/>
      </rPr>
      <t xml:space="preserve">)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</si>
  <si>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r>
      <rPr>
        <b val="true"/>
        <sz val="9"/>
        <color rgb="FF0B5C30"/>
        <rFont val="맑은 고딕"/>
        <family val="0"/>
        <charset val="1"/>
      </rPr>
      <t xml:space="preserve">[</t>
    </r>
    <r>
      <rPr>
        <b val="true"/>
        <sz val="9"/>
        <color rgb="FF0B5C30"/>
        <rFont val="WenQuanYi Zen Hei"/>
        <family val="2"/>
      </rPr>
      <t xml:space="preserve">등급표</t>
    </r>
    <r>
      <rPr>
        <b val="true"/>
        <sz val="9"/>
        <color rgb="FF0B5C30"/>
        <rFont val="맑은 고딕"/>
        <family val="0"/>
        <charset val="1"/>
      </rPr>
      <t xml:space="preserve">(</t>
    </r>
    <r>
      <rPr>
        <b val="true"/>
        <sz val="9"/>
        <color rgb="FF0B5C30"/>
        <rFont val="WenQuanYi Zen Hei"/>
        <family val="2"/>
      </rPr>
      <t xml:space="preserve">포인트 이상</t>
    </r>
    <r>
      <rPr>
        <b val="true"/>
        <sz val="9"/>
        <color rgb="FF0B5C30"/>
        <rFont val="맑은 고딕"/>
        <family val="0"/>
        <charset val="1"/>
      </rPr>
      <t xml:space="preserve">)]</t>
    </r>
  </si>
  <si>
    <t xml:space="preserve">고객코드</t>
  </si>
  <si>
    <t xml:space="preserve">고객명</t>
  </si>
  <si>
    <t xml:space="preserve">등급</t>
  </si>
  <si>
    <t xml:space="preserve">P-0120-A</t>
  </si>
  <si>
    <t xml:space="preserve">감우성</t>
  </si>
  <si>
    <t xml:space="preserve">일반</t>
  </si>
  <si>
    <t xml:space="preserve">우수</t>
  </si>
  <si>
    <t xml:space="preserve">VIP</t>
  </si>
  <si>
    <t xml:space="preserve">P-0560-B</t>
  </si>
  <si>
    <t xml:space="preserve">고아라</t>
  </si>
  <si>
    <t xml:space="preserve">P-1350-A</t>
  </si>
  <si>
    <t xml:space="preserve">남주혁</t>
  </si>
  <si>
    <t xml:space="preserve">P-0080-C</t>
  </si>
  <si>
    <t xml:space="preserve">라미란</t>
  </si>
  <si>
    <t xml:space="preserve">P-2400-B</t>
  </si>
  <si>
    <t xml:space="preserve">마동석</t>
  </si>
  <si>
    <t xml:space="preserve">P-0730-A</t>
  </si>
  <si>
    <t xml:space="preserve">배수지</t>
  </si>
  <si>
    <t xml:space="preserve">P-1050-C</t>
  </si>
  <si>
    <t xml:space="preserve">손예진</t>
  </si>
  <si>
    <t xml:space="preserve">P-0490-B</t>
  </si>
  <si>
    <t xml:space="preserve">안효섭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</si>
  <si>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3] </t>
    </r>
    <r>
      <rPr>
        <b val="true"/>
        <sz val="10"/>
        <color rgb="FF0B5C30"/>
        <rFont val="WenQuanYi Zen Hei"/>
        <family val="2"/>
      </rPr>
      <t xml:space="preserve">지역</t>
    </r>
    <r>
      <rPr>
        <b val="true"/>
        <sz val="10"/>
        <color rgb="FF0B5C30"/>
        <rFont val="맑은 고딕"/>
        <family val="0"/>
        <charset val="1"/>
      </rPr>
      <t xml:space="preserve">[B27:B34]</t>
    </r>
    <r>
      <rPr>
        <b val="true"/>
        <sz val="10"/>
        <color rgb="FF0B5C30"/>
        <rFont val="WenQuanYi Zen Hei"/>
        <family val="2"/>
      </rPr>
      <t xml:space="preserve">과 중량</t>
    </r>
    <r>
      <rPr>
        <b val="true"/>
        <sz val="10"/>
        <color rgb="FF0B5C30"/>
        <rFont val="맑은 고딕"/>
        <family val="0"/>
        <charset val="1"/>
      </rPr>
      <t xml:space="preserve">[C27:C34]</t>
    </r>
    <r>
      <rPr>
        <b val="true"/>
        <sz val="10"/>
        <color rgb="FF0B5C30"/>
        <rFont val="WenQuanYi Zen Hei"/>
        <family val="2"/>
      </rPr>
      <t xml:space="preserve">을 이용하여 요금표</t>
    </r>
    <r>
      <rPr>
        <b val="true"/>
        <sz val="10"/>
        <color rgb="FF0B5C30"/>
        <rFont val="맑은 고딕"/>
        <family val="0"/>
        <charset val="1"/>
      </rPr>
      <t xml:space="preserve">[G26:J29]</t>
    </r>
    <r>
      <rPr>
        <b val="true"/>
        <sz val="10"/>
        <color rgb="FF0B5C30"/>
        <rFont val="WenQuanYi Zen Hei"/>
        <family val="2"/>
      </rPr>
      <t xml:space="preserve">에서 배송요금</t>
    </r>
    <r>
      <rPr>
        <b val="true"/>
        <sz val="10"/>
        <color rgb="FF0B5C30"/>
        <rFont val="맑은 고딕"/>
        <family val="0"/>
        <charset val="1"/>
      </rPr>
      <t xml:space="preserve">[D27:D34]</t>
    </r>
    <r>
      <rPr>
        <b val="true"/>
        <sz val="10"/>
        <color rgb="FF0B5C30"/>
        <rFont val="WenQuanYi Zen Hei"/>
        <family val="2"/>
      </rPr>
      <t xml:space="preserve">을 찾아 표시하시오</t>
    </r>
    <r>
      <rPr>
        <b val="true"/>
        <sz val="10"/>
        <color rgb="FF0B5C30"/>
        <rFont val="맑은 고딕"/>
        <family val="0"/>
        <charset val="1"/>
      </rPr>
      <t xml:space="preserve">. (HLOOKUP, MATCH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</si>
  <si>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r>
      <rPr>
        <b val="true"/>
        <sz val="9"/>
        <color rgb="FF0B5C30"/>
        <rFont val="맑은 고딕"/>
        <family val="0"/>
        <charset val="1"/>
      </rPr>
      <t xml:space="preserve">[</t>
    </r>
    <r>
      <rPr>
        <b val="true"/>
        <sz val="9"/>
        <color rgb="FF0B5C30"/>
        <rFont val="WenQuanYi Zen Hei"/>
        <family val="2"/>
      </rPr>
      <t xml:space="preserve">지역</t>
    </r>
    <r>
      <rPr>
        <b val="true"/>
        <sz val="9"/>
        <color rgb="FF0B5C30"/>
        <rFont val="맑은 고딕"/>
        <family val="0"/>
        <charset val="1"/>
      </rPr>
      <t xml:space="preserve">·</t>
    </r>
    <r>
      <rPr>
        <b val="true"/>
        <sz val="9"/>
        <color rgb="FF0B5C30"/>
        <rFont val="WenQuanYi Zen Hei"/>
        <family val="2"/>
      </rPr>
      <t xml:space="preserve">중량별 요금표</t>
    </r>
    <r>
      <rPr>
        <b val="true"/>
        <sz val="9"/>
        <color rgb="FF0B5C30"/>
        <rFont val="맑은 고딕"/>
        <family val="0"/>
        <charset val="1"/>
      </rPr>
      <t xml:space="preserve">]</t>
    </r>
  </si>
  <si>
    <t xml:space="preserve">지역</t>
  </si>
  <si>
    <t xml:space="preserve">중량</t>
  </si>
  <si>
    <t xml:space="preserve">배송요금</t>
  </si>
  <si>
    <t xml:space="preserve">경기</t>
  </si>
  <si>
    <t xml:space="preserve">권나라</t>
  </si>
  <si>
    <t xml:space="preserve">5kg</t>
  </si>
  <si>
    <t xml:space="preserve">김유정</t>
  </si>
  <si>
    <t xml:space="preserve">10kg</t>
  </si>
  <si>
    <t xml:space="preserve">도경수</t>
  </si>
  <si>
    <t xml:space="preserve">20kg</t>
  </si>
  <si>
    <t xml:space="preserve">류승룡</t>
  </si>
  <si>
    <t xml:space="preserve">박은빈</t>
  </si>
  <si>
    <t xml:space="preserve">설인아</t>
  </si>
  <si>
    <t xml:space="preserve">이제훈</t>
  </si>
  <si>
    <t xml:space="preserve">천우희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</si>
  <si>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4] </t>
    </r>
    <r>
      <rPr>
        <b val="true"/>
        <sz val="10"/>
        <color rgb="FF0B5C30"/>
        <rFont val="WenQuanYi Zen Hei"/>
        <family val="2"/>
      </rPr>
      <t xml:space="preserve">주민등록번호</t>
    </r>
    <r>
      <rPr>
        <b val="true"/>
        <sz val="10"/>
        <color rgb="FF0B5C30"/>
        <rFont val="맑은 고딕"/>
        <family val="0"/>
        <charset val="1"/>
      </rPr>
      <t xml:space="preserve">[B39:B46]</t>
    </r>
    <r>
      <rPr>
        <b val="true"/>
        <sz val="10"/>
        <color rgb="FF0B5C30"/>
        <rFont val="WenQuanYi Zen Hei"/>
        <family val="2"/>
      </rPr>
      <t xml:space="preserve">의 </t>
    </r>
    <r>
      <rPr>
        <b val="true"/>
        <sz val="10"/>
        <color rgb="FF0B5C30"/>
        <rFont val="맑은 고딕"/>
        <family val="0"/>
        <charset val="1"/>
      </rPr>
      <t xml:space="preserve">8</t>
    </r>
    <r>
      <rPr>
        <b val="true"/>
        <sz val="10"/>
        <color rgb="FF0B5C30"/>
        <rFont val="WenQuanYi Zen Hei"/>
        <family val="2"/>
      </rPr>
      <t xml:space="preserve">번째 글자가 </t>
    </r>
    <r>
      <rPr>
        <b val="true"/>
        <sz val="10"/>
        <color rgb="FF0B5C30"/>
        <rFont val="맑은 고딕"/>
        <family val="0"/>
        <charset val="1"/>
      </rPr>
      <t xml:space="preserve">1 </t>
    </r>
    <r>
      <rPr>
        <b val="true"/>
        <sz val="10"/>
        <color rgb="FF0B5C30"/>
        <rFont val="WenQuanYi Zen Hei"/>
        <family val="2"/>
      </rPr>
      <t xml:space="preserve">또는 </t>
    </r>
    <r>
      <rPr>
        <b val="true"/>
        <sz val="10"/>
        <color rgb="FF0B5C30"/>
        <rFont val="맑은 고딕"/>
        <family val="0"/>
        <charset val="1"/>
      </rPr>
      <t xml:space="preserve">3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남</t>
    </r>
    <r>
      <rPr>
        <b val="true"/>
        <sz val="10"/>
        <color rgb="FF0B5C30"/>
        <rFont val="맑은 고딕"/>
        <family val="0"/>
        <charset val="1"/>
      </rPr>
      <t xml:space="preserve">", 2 </t>
    </r>
    <r>
      <rPr>
        <b val="true"/>
        <sz val="10"/>
        <color rgb="FF0B5C30"/>
        <rFont val="WenQuanYi Zen Hei"/>
        <family val="2"/>
      </rPr>
      <t xml:space="preserve">또는 </t>
    </r>
    <r>
      <rPr>
        <b val="true"/>
        <sz val="10"/>
        <color rgb="FF0B5C30"/>
        <rFont val="맑은 고딕"/>
        <family val="0"/>
        <charset val="1"/>
      </rPr>
      <t xml:space="preserve">4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여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를 성별</t>
    </r>
    <r>
      <rPr>
        <b val="true"/>
        <sz val="10"/>
        <color rgb="FF0B5C30"/>
        <rFont val="맑은 고딕"/>
        <family val="0"/>
        <charset val="1"/>
      </rPr>
      <t xml:space="preserve">[C39:C46]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(CHOOSE, MID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</si>
  <si>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주민등록번호</t>
  </si>
  <si>
    <t xml:space="preserve">김도윤</t>
  </si>
  <si>
    <t xml:space="preserve">880314-1******</t>
  </si>
  <si>
    <t xml:space="preserve">이서아</t>
  </si>
  <si>
    <t xml:space="preserve">920725-2******</t>
  </si>
  <si>
    <t xml:space="preserve">박시우</t>
  </si>
  <si>
    <t xml:space="preserve">010509-3******</t>
  </si>
  <si>
    <t xml:space="preserve">최하린</t>
  </si>
  <si>
    <t xml:space="preserve">041121-4******</t>
  </si>
  <si>
    <t xml:space="preserve">정지호</t>
  </si>
  <si>
    <t xml:space="preserve">970218-1******</t>
  </si>
  <si>
    <t xml:space="preserve">한나은</t>
  </si>
  <si>
    <t xml:space="preserve">890630-2******</t>
  </si>
  <si>
    <t xml:space="preserve">송민재</t>
  </si>
  <si>
    <t xml:space="preserve">030812-3******</t>
  </si>
  <si>
    <t xml:space="preserve">오유진</t>
  </si>
  <si>
    <t xml:space="preserve">060403-4******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</si>
  <si>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1] </t>
    </r>
    <r>
      <rPr>
        <b val="true"/>
        <sz val="10"/>
        <color rgb="FF0B5C30"/>
        <rFont val="WenQuanYi Zen Hei"/>
        <family val="2"/>
      </rPr>
      <t xml:space="preserve">제품군</t>
    </r>
    <r>
      <rPr>
        <b val="true"/>
        <sz val="10"/>
        <color rgb="FF0B5C30"/>
        <rFont val="맑은 고딕"/>
        <family val="0"/>
        <charset val="1"/>
      </rPr>
      <t xml:space="preserve">[B3:B10]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노트북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인 판매액</t>
    </r>
    <r>
      <rPr>
        <b val="true"/>
        <sz val="10"/>
        <color rgb="FF0B5C30"/>
        <rFont val="맑은 고딕"/>
        <family val="0"/>
        <charset val="1"/>
      </rPr>
      <t xml:space="preserve">[C3:C10]</t>
    </r>
    <r>
      <rPr>
        <b val="true"/>
        <sz val="10"/>
        <color rgb="FF0B5C30"/>
        <rFont val="WenQuanYi Zen Hei"/>
        <family val="2"/>
      </rPr>
      <t xml:space="preserve">의 최대값과 최소값의 차이를 구하여</t>
    </r>
    <r>
      <rPr>
        <b val="true"/>
        <sz val="10"/>
        <color rgb="FF0B5C30"/>
        <rFont val="맑은 고딕"/>
        <family val="0"/>
        <charset val="1"/>
      </rPr>
      <t xml:space="preserve">, </t>
    </r>
    <r>
      <rPr>
        <b val="true"/>
        <sz val="10"/>
        <color rgb="FF0B5C30"/>
        <rFont val="WenQuanYi Zen Hei"/>
        <family val="2"/>
      </rPr>
      <t xml:space="preserve">천의 자리에서 내림하여 만 단위까지 </t>
    </r>
    <r>
      <rPr>
        <b val="true"/>
        <sz val="10"/>
        <color rgb="FF0B5C30"/>
        <rFont val="맑은 고딕"/>
        <family val="0"/>
        <charset val="1"/>
      </rPr>
      <t xml:space="preserve">[H3]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</t>
    </r>
    <r>
      <rPr>
        <b val="true"/>
        <sz val="10"/>
        <color rgb="FF0B5C30"/>
        <rFont val="WenQuanYi Zen Hei"/>
        <family val="2"/>
      </rPr>
      <t xml:space="preserve">조건은 </t>
    </r>
    <r>
      <rPr>
        <b val="true"/>
        <sz val="10"/>
        <color rgb="FF0B5C30"/>
        <rFont val="맑은 고딕"/>
        <family val="0"/>
        <charset val="1"/>
      </rPr>
      <t xml:space="preserve">[F2:F3] </t>
    </r>
    <r>
      <rPr>
        <b val="true"/>
        <sz val="10"/>
        <color rgb="FF0B5C30"/>
        <rFont val="WenQuanYi Zen Hei"/>
        <family val="2"/>
      </rPr>
      <t xml:space="preserve">범위 이용</t>
    </r>
    <r>
      <rPr>
        <b val="true"/>
        <sz val="10"/>
        <color rgb="FF0B5C30"/>
        <rFont val="맑은 고딕"/>
        <family val="0"/>
        <charset val="1"/>
      </rPr>
      <t xml:space="preserve">) (DMAX, DMIN, ROUNDDOWN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</si>
  <si>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r>
      <rPr>
        <b val="true"/>
        <sz val="9"/>
        <color rgb="FF0B5C30"/>
        <rFont val="맑은 고딕"/>
        <family val="0"/>
        <charset val="1"/>
      </rPr>
      <t xml:space="preserve">[</t>
    </r>
    <r>
      <rPr>
        <b val="true"/>
        <sz val="9"/>
        <color rgb="FF0B5C30"/>
        <rFont val="WenQuanYi Zen Hei"/>
        <family val="2"/>
      </rPr>
      <t xml:space="preserve">조건</t>
    </r>
    <r>
      <rPr>
        <b val="true"/>
        <sz val="9"/>
        <color rgb="FF0B5C30"/>
        <rFont val="맑은 고딕"/>
        <family val="0"/>
        <charset val="1"/>
      </rPr>
      <t xml:space="preserve">]</t>
    </r>
  </si>
  <si>
    <t xml:space="preserve">지점명</t>
  </si>
  <si>
    <t xml:space="preserve">제품군</t>
  </si>
  <si>
    <t xml:space="preserve">판매액</t>
  </si>
  <si>
    <t xml:space="preserve">정답</t>
  </si>
  <si>
    <t xml:space="preserve">모니터</t>
  </si>
  <si>
    <t xml:space="preserve">프린터</t>
  </si>
  <si>
    <t xml:space="preserve">잠실점</t>
  </si>
  <si>
    <t xml:space="preserve">목동점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</si>
  <si>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2] </t>
    </r>
    <r>
      <rPr>
        <b val="true"/>
        <sz val="10"/>
        <color rgb="FF0B5C30"/>
        <rFont val="WenQuanYi Zen Hei"/>
        <family val="2"/>
      </rPr>
      <t xml:space="preserve">반</t>
    </r>
    <r>
      <rPr>
        <b val="true"/>
        <sz val="10"/>
        <color rgb="FF0B5C30"/>
        <rFont val="맑은 고딕"/>
        <family val="0"/>
        <charset val="1"/>
      </rPr>
      <t xml:space="preserve">[A15:A22]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"A</t>
    </r>
    <r>
      <rPr>
        <b val="true"/>
        <sz val="10"/>
        <color rgb="FF0B5C30"/>
        <rFont val="WenQuanYi Zen Hei"/>
        <family val="2"/>
      </rPr>
      <t xml:space="preserve">반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인 학생들의 점수</t>
    </r>
    <r>
      <rPr>
        <b val="true"/>
        <sz val="10"/>
        <color rgb="FF0B5C30"/>
        <rFont val="맑은 고딕"/>
        <family val="0"/>
        <charset val="1"/>
      </rPr>
      <t xml:space="preserve">[C15:C22] </t>
    </r>
    <r>
      <rPr>
        <b val="true"/>
        <sz val="10"/>
        <color rgb="FF0B5C30"/>
        <rFont val="WenQuanYi Zen Hei"/>
        <family val="2"/>
      </rPr>
      <t xml:space="preserve">평균을 반올림하여 소수점 이하 </t>
    </r>
    <r>
      <rPr>
        <b val="true"/>
        <sz val="10"/>
        <color rgb="FF0B5C30"/>
        <rFont val="맑은 고딕"/>
        <family val="0"/>
        <charset val="1"/>
      </rPr>
      <t xml:space="preserve">1</t>
    </r>
    <r>
      <rPr>
        <b val="true"/>
        <sz val="10"/>
        <color rgb="FF0B5C30"/>
        <rFont val="WenQuanYi Zen Hei"/>
        <family val="2"/>
      </rPr>
      <t xml:space="preserve">자리까지 </t>
    </r>
    <r>
      <rPr>
        <b val="true"/>
        <sz val="10"/>
        <color rgb="FF0B5C30"/>
        <rFont val="맑은 고딕"/>
        <family val="0"/>
        <charset val="1"/>
      </rPr>
      <t xml:space="preserve">[H15]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</t>
    </r>
    <r>
      <rPr>
        <b val="true"/>
        <sz val="10"/>
        <color rgb="FF0B5C30"/>
        <rFont val="WenQuanYi Zen Hei"/>
        <family val="2"/>
      </rPr>
      <t xml:space="preserve">조건은 </t>
    </r>
    <r>
      <rPr>
        <b val="true"/>
        <sz val="10"/>
        <color rgb="FF0B5C30"/>
        <rFont val="맑은 고딕"/>
        <family val="0"/>
        <charset val="1"/>
      </rPr>
      <t xml:space="preserve">[F14:F15] </t>
    </r>
    <r>
      <rPr>
        <b val="true"/>
        <sz val="10"/>
        <color rgb="FF0B5C30"/>
        <rFont val="WenQuanYi Zen Hei"/>
        <family val="2"/>
      </rPr>
      <t xml:space="preserve">범위 이용</t>
    </r>
    <r>
      <rPr>
        <b val="true"/>
        <sz val="10"/>
        <color rgb="FF0B5C30"/>
        <rFont val="맑은 고딕"/>
        <family val="0"/>
        <charset val="1"/>
      </rPr>
      <t xml:space="preserve">) (DAVERAGE, ROUND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</si>
  <si>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반</t>
  </si>
  <si>
    <t xml:space="preserve">이름</t>
  </si>
  <si>
    <t xml:space="preserve">점수</t>
  </si>
  <si>
    <r>
      <rPr>
        <sz val="10"/>
        <rFont val="맑은 고딕"/>
        <family val="0"/>
        <charset val="1"/>
      </rPr>
      <t xml:space="preserve">A</t>
    </r>
    <r>
      <rPr>
        <sz val="10"/>
        <rFont val="WenQuanYi Zen Hei"/>
        <family val="2"/>
      </rPr>
      <t xml:space="preserve">반</t>
    </r>
  </si>
  <si>
    <t xml:space="preserve">김민서</t>
  </si>
  <si>
    <r>
      <rPr>
        <sz val="10"/>
        <rFont val="맑은 고딕"/>
        <family val="0"/>
        <charset val="1"/>
      </rPr>
      <t xml:space="preserve">B</t>
    </r>
    <r>
      <rPr>
        <sz val="10"/>
        <rFont val="WenQuanYi Zen Hei"/>
        <family val="2"/>
      </rPr>
      <t xml:space="preserve">반</t>
    </r>
  </si>
  <si>
    <t xml:space="preserve">이도현</t>
  </si>
  <si>
    <t xml:space="preserve">박서준</t>
  </si>
  <si>
    <r>
      <rPr>
        <sz val="10"/>
        <rFont val="맑은 고딕"/>
        <family val="0"/>
        <charset val="1"/>
      </rPr>
      <t xml:space="preserve">C</t>
    </r>
    <r>
      <rPr>
        <sz val="10"/>
        <rFont val="WenQuanYi Zen Hei"/>
        <family val="2"/>
      </rPr>
      <t xml:space="preserve">반</t>
    </r>
  </si>
  <si>
    <t xml:space="preserve">최유나</t>
  </si>
  <si>
    <t xml:space="preserve">정예은</t>
  </si>
  <si>
    <t xml:space="preserve">강현우</t>
  </si>
  <si>
    <t xml:space="preserve">윤지안</t>
  </si>
  <si>
    <t xml:space="preserve">임태양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</si>
  <si>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3] </t>
    </r>
    <r>
      <rPr>
        <b val="true"/>
        <sz val="10"/>
        <color rgb="FF0B5C30"/>
        <rFont val="WenQuanYi Zen Hei"/>
        <family val="2"/>
      </rPr>
      <t xml:space="preserve">품목</t>
    </r>
    <r>
      <rPr>
        <b val="true"/>
        <sz val="10"/>
        <color rgb="FF0B5C30"/>
        <rFont val="맑은 고딕"/>
        <family val="0"/>
        <charset val="1"/>
      </rPr>
      <t xml:space="preserve">[A27:A34]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사과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인 매출액</t>
    </r>
    <r>
      <rPr>
        <b val="true"/>
        <sz val="10"/>
        <color rgb="FF0B5C30"/>
        <rFont val="맑은 고딕"/>
        <family val="0"/>
        <charset val="1"/>
      </rPr>
      <t xml:space="preserve">[D27:D34]</t>
    </r>
    <r>
      <rPr>
        <b val="true"/>
        <sz val="10"/>
        <color rgb="FF0B5C30"/>
        <rFont val="WenQuanYi Zen Hei"/>
        <family val="2"/>
      </rPr>
      <t xml:space="preserve">의 합계를 구하여</t>
    </r>
    <r>
      <rPr>
        <b val="true"/>
        <sz val="10"/>
        <color rgb="FF0B5C30"/>
        <rFont val="맑은 고딕"/>
        <family val="0"/>
        <charset val="1"/>
      </rPr>
      <t xml:space="preserve">, </t>
    </r>
    <r>
      <rPr>
        <b val="true"/>
        <sz val="10"/>
        <color rgb="FF0B5C30"/>
        <rFont val="WenQuanYi Zen Hei"/>
        <family val="2"/>
      </rPr>
      <t xml:space="preserve">천의 자리에서 올림하여 만 단위까지 </t>
    </r>
    <r>
      <rPr>
        <b val="true"/>
        <sz val="10"/>
        <color rgb="FF0B5C30"/>
        <rFont val="맑은 고딕"/>
        <family val="0"/>
        <charset val="1"/>
      </rPr>
      <t xml:space="preserve">[H27]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</t>
    </r>
    <r>
      <rPr>
        <b val="true"/>
        <sz val="10"/>
        <color rgb="FF0B5C30"/>
        <rFont val="WenQuanYi Zen Hei"/>
        <family val="2"/>
      </rPr>
      <t xml:space="preserve">조건은 </t>
    </r>
    <r>
      <rPr>
        <b val="true"/>
        <sz val="10"/>
        <color rgb="FF0B5C30"/>
        <rFont val="맑은 고딕"/>
        <family val="0"/>
        <charset val="1"/>
      </rPr>
      <t xml:space="preserve">[F26:F27] </t>
    </r>
    <r>
      <rPr>
        <b val="true"/>
        <sz val="10"/>
        <color rgb="FF0B5C30"/>
        <rFont val="WenQuanYi Zen Hei"/>
        <family val="2"/>
      </rPr>
      <t xml:space="preserve">범위 이용</t>
    </r>
    <r>
      <rPr>
        <b val="true"/>
        <sz val="10"/>
        <color rgb="FF0B5C30"/>
        <rFont val="맑은 고딕"/>
        <family val="0"/>
        <charset val="1"/>
      </rPr>
      <t xml:space="preserve">) (DSUM, ROUNDUP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</si>
  <si>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품목</t>
  </si>
  <si>
    <t xml:space="preserve">산지</t>
  </si>
  <si>
    <t xml:space="preserve">매출액</t>
  </si>
  <si>
    <t xml:space="preserve">사과</t>
  </si>
  <si>
    <t xml:space="preserve">청송</t>
  </si>
  <si>
    <t xml:space="preserve">배</t>
  </si>
  <si>
    <t xml:space="preserve">나주</t>
  </si>
  <si>
    <t xml:space="preserve">예산</t>
  </si>
  <si>
    <t xml:space="preserve">포도</t>
  </si>
  <si>
    <t xml:space="preserve">김천</t>
  </si>
  <si>
    <t xml:space="preserve">충주</t>
  </si>
  <si>
    <t xml:space="preserve">영동</t>
  </si>
  <si>
    <t xml:space="preserve">안동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</si>
  <si>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4] </t>
    </r>
    <r>
      <rPr>
        <b val="true"/>
        <sz val="10"/>
        <color rgb="FF0B5C30"/>
        <rFont val="WenQuanYi Zen Hei"/>
        <family val="2"/>
      </rPr>
      <t xml:space="preserve">활동시간</t>
    </r>
    <r>
      <rPr>
        <b val="true"/>
        <sz val="10"/>
        <color rgb="FF0B5C30"/>
        <rFont val="맑은 고딕"/>
        <family val="0"/>
        <charset val="1"/>
      </rPr>
      <t xml:space="preserve">[C39:C46]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20 </t>
    </r>
    <r>
      <rPr>
        <b val="true"/>
        <sz val="10"/>
        <color rgb="FF0B5C30"/>
        <rFont val="WenQuanYi Zen Hei"/>
        <family val="2"/>
      </rPr>
      <t xml:space="preserve">이상인 인원수를 구하여 </t>
    </r>
    <r>
      <rPr>
        <b val="true"/>
        <sz val="10"/>
        <color rgb="FF0B5C30"/>
        <rFont val="맑은 고딕"/>
        <family val="0"/>
        <charset val="1"/>
      </rPr>
      <t xml:space="preserve">[H39]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</t>
    </r>
    <r>
      <rPr>
        <b val="true"/>
        <sz val="10"/>
        <color rgb="FF0B5C30"/>
        <rFont val="WenQuanYi Zen Hei"/>
        <family val="2"/>
      </rPr>
      <t xml:space="preserve">조건은 </t>
    </r>
    <r>
      <rPr>
        <b val="true"/>
        <sz val="10"/>
        <color rgb="FF0B5C30"/>
        <rFont val="맑은 고딕"/>
        <family val="0"/>
        <charset val="1"/>
      </rPr>
      <t xml:space="preserve">[F38:F39] </t>
    </r>
    <r>
      <rPr>
        <b val="true"/>
        <sz val="10"/>
        <color rgb="FF0B5C30"/>
        <rFont val="WenQuanYi Zen Hei"/>
        <family val="2"/>
      </rPr>
      <t xml:space="preserve">범위 이용</t>
    </r>
    <r>
      <rPr>
        <b val="true"/>
        <sz val="10"/>
        <color rgb="FF0B5C30"/>
        <rFont val="맑은 고딕"/>
        <family val="0"/>
        <charset val="1"/>
      </rPr>
      <t xml:space="preserve">) (DCOUNT,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</si>
  <si>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활동시간</t>
  </si>
  <si>
    <t xml:space="preserve">고은채</t>
  </si>
  <si>
    <t xml:space="preserve">마포</t>
  </si>
  <si>
    <t xml:space="preserve">&gt;=20</t>
  </si>
  <si>
    <t xml:space="preserve">김리안</t>
  </si>
  <si>
    <t xml:space="preserve">송파</t>
  </si>
  <si>
    <t xml:space="preserve">박준후</t>
  </si>
  <si>
    <t xml:space="preserve">은평</t>
  </si>
  <si>
    <t xml:space="preserve">서지안</t>
  </si>
  <si>
    <t xml:space="preserve">강서</t>
  </si>
  <si>
    <t xml:space="preserve">안세하</t>
  </si>
  <si>
    <t xml:space="preserve">노원</t>
  </si>
  <si>
    <t xml:space="preserve">이태리</t>
  </si>
  <si>
    <t xml:space="preserve">중구</t>
  </si>
  <si>
    <t xml:space="preserve">정윤슬</t>
  </si>
  <si>
    <t xml:space="preserve">용산</t>
  </si>
  <si>
    <t xml:space="preserve">홍시온</t>
  </si>
  <si>
    <t xml:space="preserve">강동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</si>
  <si>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1] </t>
    </r>
    <r>
      <rPr>
        <b val="true"/>
        <sz val="10"/>
        <color rgb="FF0B5C30"/>
        <rFont val="WenQuanYi Zen Hei"/>
        <family val="2"/>
      </rPr>
      <t xml:space="preserve">판매금액</t>
    </r>
    <r>
      <rPr>
        <b val="true"/>
        <sz val="10"/>
        <color rgb="FF0B5C30"/>
        <rFont val="맑은 고딕"/>
        <family val="0"/>
        <charset val="1"/>
      </rPr>
      <t xml:space="preserve">[C3:C10]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3,000,000 </t>
    </r>
    <r>
      <rPr>
        <b val="true"/>
        <sz val="10"/>
        <color rgb="FF0B5C30"/>
        <rFont val="WenQuanYi Zen Hei"/>
        <family val="2"/>
      </rPr>
      <t xml:space="preserve">이상이면서 판매량</t>
    </r>
    <r>
      <rPr>
        <b val="true"/>
        <sz val="10"/>
        <color rgb="FF0B5C30"/>
        <rFont val="맑은 고딕"/>
        <family val="0"/>
        <charset val="1"/>
      </rPr>
      <t xml:space="preserve">[B3:B10]</t>
    </r>
    <r>
      <rPr>
        <b val="true"/>
        <sz val="10"/>
        <color rgb="FF0B5C30"/>
        <rFont val="WenQuanYi Zen Hei"/>
        <family val="2"/>
      </rPr>
      <t xml:space="preserve">이 판매량 평균 이상인 사원수를 </t>
    </r>
    <r>
      <rPr>
        <b val="true"/>
        <sz val="10"/>
        <color rgb="FF0B5C30"/>
        <rFont val="맑은 고딕"/>
        <family val="0"/>
        <charset val="1"/>
      </rPr>
      <t xml:space="preserve">[E3]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(COUNTIFS, AVERAGE,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</si>
  <si>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판매금액</t>
  </si>
  <si>
    <t xml:space="preserve">금보라</t>
  </si>
  <si>
    <t xml:space="preserve">나문희</t>
  </si>
  <si>
    <t xml:space="preserve">도지원</t>
  </si>
  <si>
    <t xml:space="preserve">류혜영</t>
  </si>
  <si>
    <t xml:space="preserve">민경훈</t>
  </si>
  <si>
    <t xml:space="preserve">봉태규</t>
  </si>
  <si>
    <t xml:space="preserve">소유진</t>
  </si>
  <si>
    <t xml:space="preserve">오만석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</si>
  <si>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2] </t>
    </r>
    <r>
      <rPr>
        <b val="true"/>
        <sz val="10"/>
        <color rgb="FF0B5C30"/>
        <rFont val="WenQuanYi Zen Hei"/>
        <family val="2"/>
      </rPr>
      <t xml:space="preserve">포지션</t>
    </r>
    <r>
      <rPr>
        <b val="true"/>
        <sz val="10"/>
        <color rgb="FF0B5C30"/>
        <rFont val="맑은 고딕"/>
        <family val="0"/>
        <charset val="1"/>
      </rPr>
      <t xml:space="preserve">[B15:B22]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루수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로 끝나는 선수들의 연봉</t>
    </r>
    <r>
      <rPr>
        <b val="true"/>
        <sz val="10"/>
        <color rgb="FF0B5C30"/>
        <rFont val="맑은 고딕"/>
        <family val="0"/>
        <charset val="1"/>
      </rPr>
      <t xml:space="preserve">[C15:C22] </t>
    </r>
    <r>
      <rPr>
        <b val="true"/>
        <sz val="10"/>
        <color rgb="FF0B5C30"/>
        <rFont val="WenQuanYi Zen Hei"/>
        <family val="2"/>
      </rPr>
      <t xml:space="preserve">합계를 </t>
    </r>
    <r>
      <rPr>
        <b val="true"/>
        <sz val="10"/>
        <color rgb="FF0B5C30"/>
        <rFont val="맑은 고딕"/>
        <family val="0"/>
        <charset val="1"/>
      </rPr>
      <t xml:space="preserve">[E15]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(SUMIF, </t>
    </r>
    <r>
      <rPr>
        <b val="true"/>
        <sz val="10"/>
        <color rgb="FF0B5C30"/>
        <rFont val="WenQuanYi Zen Hei"/>
        <family val="2"/>
      </rPr>
      <t xml:space="preserve">와일드카드</t>
    </r>
    <r>
      <rPr>
        <b val="true"/>
        <sz val="10"/>
        <color rgb="FF0B5C30"/>
        <rFont val="맑은 고딕"/>
        <family val="0"/>
        <charset val="1"/>
      </rPr>
      <t xml:space="preserve">(*)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</si>
  <si>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포지션</t>
  </si>
  <si>
    <t xml:space="preserve">연봉</t>
  </si>
  <si>
    <t xml:space="preserve">강백호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</si>
  <si>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루수</t>
    </r>
  </si>
  <si>
    <t xml:space="preserve">구창모</t>
  </si>
  <si>
    <t xml:space="preserve">투수</t>
  </si>
  <si>
    <t xml:space="preserve">김혜성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</si>
  <si>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루수</t>
    </r>
  </si>
  <si>
    <t xml:space="preserve">박동원</t>
  </si>
  <si>
    <t xml:space="preserve">포수</t>
  </si>
  <si>
    <t xml:space="preserve">송성문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</si>
  <si>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루수</t>
    </r>
  </si>
  <si>
    <t xml:space="preserve">안현민</t>
  </si>
  <si>
    <t xml:space="preserve">외야수</t>
  </si>
  <si>
    <t xml:space="preserve">오재일</t>
  </si>
  <si>
    <t xml:space="preserve">원태인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</si>
  <si>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3] </t>
    </r>
    <r>
      <rPr>
        <b val="true"/>
        <sz val="10"/>
        <color rgb="FF0B5C30"/>
        <rFont val="WenQuanYi Zen Hei"/>
        <family val="2"/>
      </rPr>
      <t xml:space="preserve">지역</t>
    </r>
    <r>
      <rPr>
        <b val="true"/>
        <sz val="10"/>
        <color rgb="FF0B5C30"/>
        <rFont val="맑은 고딕"/>
        <family val="0"/>
        <charset val="1"/>
      </rPr>
      <t xml:space="preserve">[B27:B34]</t>
    </r>
    <r>
      <rPr>
        <b val="true"/>
        <sz val="10"/>
        <color rgb="FF0B5C30"/>
        <rFont val="WenQuanYi Zen Hei"/>
        <family val="2"/>
      </rPr>
      <t xml:space="preserve">이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강남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인 지점의 매출액</t>
    </r>
    <r>
      <rPr>
        <b val="true"/>
        <sz val="10"/>
        <color rgb="FF0B5C30"/>
        <rFont val="맑은 고딕"/>
        <family val="0"/>
        <charset val="1"/>
      </rPr>
      <t xml:space="preserve">[C27:C34] </t>
    </r>
    <r>
      <rPr>
        <b val="true"/>
        <sz val="10"/>
        <color rgb="FF0B5C30"/>
        <rFont val="WenQuanYi Zen Hei"/>
        <family val="2"/>
      </rPr>
      <t xml:space="preserve">평균에서 전체 매출액의 중앙값을 뺀 값을 반올림하여 소수점 이하 </t>
    </r>
    <r>
      <rPr>
        <b val="true"/>
        <sz val="10"/>
        <color rgb="FF0B5C30"/>
        <rFont val="맑은 고딕"/>
        <family val="0"/>
        <charset val="1"/>
      </rPr>
      <t xml:space="preserve">1</t>
    </r>
    <r>
      <rPr>
        <b val="true"/>
        <sz val="10"/>
        <color rgb="FF0B5C30"/>
        <rFont val="WenQuanYi Zen Hei"/>
        <family val="2"/>
      </rPr>
      <t xml:space="preserve">자리까지 </t>
    </r>
    <r>
      <rPr>
        <b val="true"/>
        <sz val="10"/>
        <color rgb="FF0B5C30"/>
        <rFont val="맑은 고딕"/>
        <family val="0"/>
        <charset val="1"/>
      </rPr>
      <t xml:space="preserve">[E27]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(ROUND, AVERAGEIF, MEDIAN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</si>
  <si>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역삼점</t>
  </si>
  <si>
    <t xml:space="preserve">강남</t>
  </si>
  <si>
    <t xml:space="preserve">수유점</t>
  </si>
  <si>
    <t xml:space="preserve">강북</t>
  </si>
  <si>
    <t xml:space="preserve">논현점</t>
  </si>
  <si>
    <t xml:space="preserve">화곡점</t>
  </si>
  <si>
    <t xml:space="preserve">대치점</t>
  </si>
  <si>
    <t xml:space="preserve">미아점</t>
  </si>
  <si>
    <t xml:space="preserve">방화점</t>
  </si>
  <si>
    <t xml:space="preserve">개포점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</si>
  <si>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4] </t>
    </r>
    <r>
      <rPr>
        <b val="true"/>
        <sz val="10"/>
        <color rgb="FF0B5C30"/>
        <rFont val="WenQuanYi Zen Hei"/>
        <family val="2"/>
      </rPr>
      <t xml:space="preserve">결과</t>
    </r>
    <r>
      <rPr>
        <b val="true"/>
        <sz val="10"/>
        <color rgb="FF0B5C30"/>
        <rFont val="맑은 고딕"/>
        <family val="0"/>
        <charset val="1"/>
      </rPr>
      <t xml:space="preserve">[C39:C46]</t>
    </r>
    <r>
      <rPr>
        <b val="true"/>
        <sz val="10"/>
        <color rgb="FF0B5C30"/>
        <rFont val="WenQuanYi Zen Hei"/>
        <family val="2"/>
      </rPr>
      <t xml:space="preserve">에서 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합격</t>
    </r>
    <r>
      <rPr>
        <b val="true"/>
        <sz val="10"/>
        <color rgb="FF0B5C30"/>
        <rFont val="맑은 고딕"/>
        <family val="0"/>
        <charset val="1"/>
      </rPr>
      <t xml:space="preserve">"</t>
    </r>
    <r>
      <rPr>
        <b val="true"/>
        <sz val="10"/>
        <color rgb="FF0B5C30"/>
        <rFont val="WenQuanYi Zen Hei"/>
        <family val="2"/>
      </rPr>
      <t xml:space="preserve">의 비율을 </t>
    </r>
    <r>
      <rPr>
        <b val="true"/>
        <sz val="10"/>
        <color rgb="FF0B5C30"/>
        <rFont val="맑은 고딕"/>
        <family val="0"/>
        <charset val="1"/>
      </rPr>
      <t xml:space="preserve">[E39]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▶ </t>
    </r>
    <r>
      <rPr>
        <b val="true"/>
        <sz val="10"/>
        <color rgb="FF0B5C30"/>
        <rFont val="WenQuanYi Zen Hei"/>
        <family val="2"/>
      </rPr>
      <t xml:space="preserve">합격 비율 </t>
    </r>
    <r>
      <rPr>
        <b val="true"/>
        <sz val="10"/>
        <color rgb="FF0B5C30"/>
        <rFont val="맑은 고딕"/>
        <family val="0"/>
        <charset val="1"/>
      </rPr>
      <t xml:space="preserve">= </t>
    </r>
    <r>
      <rPr>
        <b val="true"/>
        <sz val="10"/>
        <color rgb="FF0B5C30"/>
        <rFont val="WenQuanYi Zen Hei"/>
        <family val="2"/>
      </rPr>
      <t xml:space="preserve">합격 인원 </t>
    </r>
    <r>
      <rPr>
        <b val="true"/>
        <sz val="10"/>
        <color rgb="FF0B5C30"/>
        <rFont val="맑은 고딕"/>
        <family val="0"/>
        <charset val="1"/>
      </rPr>
      <t xml:space="preserve">÷ </t>
    </r>
    <r>
      <rPr>
        <b val="true"/>
        <sz val="10"/>
        <color rgb="FF0B5C30"/>
        <rFont val="WenQuanYi Zen Hei"/>
        <family val="2"/>
      </rPr>
      <t xml:space="preserve">전체 인원 </t>
    </r>
    <r>
      <rPr>
        <b val="true"/>
        <sz val="10"/>
        <color rgb="FF0B5C30"/>
        <rFont val="맑은 고딕"/>
        <family val="0"/>
        <charset val="1"/>
      </rPr>
      <t xml:space="preserve">× 100 (COUNTIF, COUNTA,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</si>
  <si>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응시자명</t>
  </si>
  <si>
    <t xml:space="preserve">응시분야</t>
  </si>
  <si>
    <t xml:space="preserve">김보성</t>
  </si>
  <si>
    <t xml:space="preserve">핸드드립</t>
  </si>
  <si>
    <t xml:space="preserve">합격</t>
  </si>
  <si>
    <t xml:space="preserve">나인우</t>
  </si>
  <si>
    <t xml:space="preserve">에스프레소</t>
  </si>
  <si>
    <t xml:space="preserve">불합격</t>
  </si>
  <si>
    <t xml:space="preserve">박규영</t>
  </si>
  <si>
    <t xml:space="preserve">서강준</t>
  </si>
  <si>
    <t xml:space="preserve">라떼아트</t>
  </si>
  <si>
    <t xml:space="preserve">엄정화</t>
  </si>
  <si>
    <t xml:space="preserve">이세영</t>
  </si>
  <si>
    <t xml:space="preserve">조정석</t>
  </si>
  <si>
    <t xml:space="preserve">최수영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</si>
  <si>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1] </t>
    </r>
    <r>
      <rPr>
        <b val="true"/>
        <sz val="10"/>
        <color rgb="FF0B5C30"/>
        <rFont val="WenQuanYi Zen Hei"/>
        <family val="2"/>
      </rPr>
      <t xml:space="preserve">영문상품명</t>
    </r>
    <r>
      <rPr>
        <b val="true"/>
        <sz val="10"/>
        <color rgb="FF0B5C30"/>
        <rFont val="맑은 고딕"/>
        <family val="0"/>
        <charset val="1"/>
      </rPr>
      <t xml:space="preserve">[A3:A10]</t>
    </r>
    <r>
      <rPr>
        <b val="true"/>
        <sz val="10"/>
        <color rgb="FF0B5C30"/>
        <rFont val="WenQuanYi Zen Hei"/>
        <family val="2"/>
      </rPr>
      <t xml:space="preserve">의 앞 </t>
    </r>
    <r>
      <rPr>
        <b val="true"/>
        <sz val="10"/>
        <color rgb="FF0B5C30"/>
        <rFont val="맑은 고딕"/>
        <family val="0"/>
        <charset val="1"/>
      </rPr>
      <t xml:space="preserve">4</t>
    </r>
    <r>
      <rPr>
        <b val="true"/>
        <sz val="10"/>
        <color rgb="FF0B5C30"/>
        <rFont val="WenQuanYi Zen Hei"/>
        <family val="2"/>
      </rPr>
      <t xml:space="preserve">글자를 첫 글자만 대문자로 변환한 후 </t>
    </r>
    <r>
      <rPr>
        <b val="true"/>
        <sz val="10"/>
        <color rgb="FF0B5C30"/>
        <rFont val="맑은 고딕"/>
        <family val="0"/>
        <charset val="1"/>
      </rPr>
      <t xml:space="preserve">"-"</t>
    </r>
    <r>
      <rPr>
        <b val="true"/>
        <sz val="10"/>
        <color rgb="FF0B5C30"/>
        <rFont val="WenQuanYi Zen Hei"/>
        <family val="2"/>
      </rPr>
      <t xml:space="preserve">와 제조년도</t>
    </r>
    <r>
      <rPr>
        <b val="true"/>
        <sz val="10"/>
        <color rgb="FF0B5C30"/>
        <rFont val="맑은 고딕"/>
        <family val="0"/>
        <charset val="1"/>
      </rPr>
      <t xml:space="preserve">[B3:B10]</t>
    </r>
    <r>
      <rPr>
        <b val="true"/>
        <sz val="10"/>
        <color rgb="FF0B5C30"/>
        <rFont val="WenQuanYi Zen Hei"/>
        <family val="2"/>
      </rPr>
      <t xml:space="preserve">를 연결하여 상품코드</t>
    </r>
    <r>
      <rPr>
        <b val="true"/>
        <sz val="10"/>
        <color rgb="FF0B5C30"/>
        <rFont val="맑은 고딕"/>
        <family val="0"/>
        <charset val="1"/>
      </rPr>
      <t xml:space="preserve">[C3:C10]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(PROPER, LEFT, &amp; </t>
    </r>
    <r>
      <rPr>
        <b val="true"/>
        <sz val="10"/>
        <color rgb="FF0B5C30"/>
        <rFont val="WenQuanYi Zen Hei"/>
        <family val="2"/>
      </rPr>
      <t xml:space="preserve">연산자 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</si>
  <si>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영문상품명</t>
  </si>
  <si>
    <t xml:space="preserve">제조년도</t>
  </si>
  <si>
    <t xml:space="preserve">chocolate</t>
  </si>
  <si>
    <t xml:space="preserve">caramel</t>
  </si>
  <si>
    <t xml:space="preserve">biscuit</t>
  </si>
  <si>
    <t xml:space="preserve">jelly</t>
  </si>
  <si>
    <t xml:space="preserve">candy</t>
  </si>
  <si>
    <t xml:space="preserve">waffle</t>
  </si>
  <si>
    <t xml:space="preserve">pudding</t>
  </si>
  <si>
    <t xml:space="preserve">brownie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</si>
  <si>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2] </t>
    </r>
    <r>
      <rPr>
        <b val="true"/>
        <sz val="10"/>
        <color rgb="FF0B5C30"/>
        <rFont val="WenQuanYi Zen Hei"/>
        <family val="2"/>
      </rPr>
      <t xml:space="preserve">이메일</t>
    </r>
    <r>
      <rPr>
        <b val="true"/>
        <sz val="10"/>
        <color rgb="FF0B5C30"/>
        <rFont val="맑은 고딕"/>
        <family val="0"/>
        <charset val="1"/>
      </rPr>
      <t xml:space="preserve">[B15:B22]</t>
    </r>
    <r>
      <rPr>
        <b val="true"/>
        <sz val="10"/>
        <color rgb="FF0B5C30"/>
        <rFont val="WenQuanYi Zen Hei"/>
        <family val="2"/>
      </rPr>
      <t xml:space="preserve">에서 </t>
    </r>
    <r>
      <rPr>
        <b val="true"/>
        <sz val="10"/>
        <color rgb="FF0B5C30"/>
        <rFont val="맑은 고딕"/>
        <family val="0"/>
        <charset val="1"/>
      </rPr>
      <t xml:space="preserve">"@" </t>
    </r>
    <r>
      <rPr>
        <b val="true"/>
        <sz val="10"/>
        <color rgb="FF0B5C30"/>
        <rFont val="WenQuanYi Zen Hei"/>
        <family val="2"/>
      </rPr>
      <t xml:space="preserve">앞의 문자열을 추출하여 아이디</t>
    </r>
    <r>
      <rPr>
        <b val="true"/>
        <sz val="10"/>
        <color rgb="FF0B5C30"/>
        <rFont val="맑은 고딕"/>
        <family val="0"/>
        <charset val="1"/>
      </rPr>
      <t xml:space="preserve">[C15:C22]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(MID, SEARCH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</si>
  <si>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이메일</t>
  </si>
  <si>
    <t xml:space="preserve">아이디</t>
  </si>
  <si>
    <t xml:space="preserve">김민지</t>
  </si>
  <si>
    <t xml:space="preserve">minji88@daum.net</t>
  </si>
  <si>
    <t xml:space="preserve">박하늘</t>
  </si>
  <si>
    <t xml:space="preserve">sky0412@naver.com</t>
  </si>
  <si>
    <t xml:space="preserve">이행복</t>
  </si>
  <si>
    <t xml:space="preserve">happyday@gmail.com</t>
  </si>
  <si>
    <t xml:space="preserve">정코코</t>
  </si>
  <si>
    <t xml:space="preserve">coco2026@hanmail.net</t>
  </si>
  <si>
    <t xml:space="preserve">최바다</t>
  </si>
  <si>
    <t xml:space="preserve">blueocean@naver.com</t>
  </si>
  <si>
    <t xml:space="preserve">한별</t>
  </si>
  <si>
    <t xml:space="preserve">star_h@daum.net</t>
  </si>
  <si>
    <t xml:space="preserve">오태식</t>
  </si>
  <si>
    <t xml:space="preserve">gamer77@gmail.com</t>
  </si>
  <si>
    <t xml:space="preserve">김써니</t>
  </si>
  <si>
    <t xml:space="preserve">sunny.kim@naver.com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</si>
  <si>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3] </t>
    </r>
    <r>
      <rPr>
        <b val="true"/>
        <sz val="10"/>
        <color rgb="FF0B5C30"/>
        <rFont val="WenQuanYi Zen Hei"/>
        <family val="2"/>
      </rPr>
      <t xml:space="preserve">판매량</t>
    </r>
    <r>
      <rPr>
        <b val="true"/>
        <sz val="10"/>
        <color rgb="FF0B5C30"/>
        <rFont val="맑은 고딕"/>
        <family val="0"/>
        <charset val="1"/>
      </rPr>
      <t xml:space="preserve">[C27:C34]</t>
    </r>
    <r>
      <rPr>
        <b val="true"/>
        <sz val="10"/>
        <color rgb="FF0B5C30"/>
        <rFont val="WenQuanYi Zen Hei"/>
        <family val="2"/>
      </rPr>
      <t xml:space="preserve">이 가장 많은 메뉴명</t>
    </r>
    <r>
      <rPr>
        <b val="true"/>
        <sz val="10"/>
        <color rgb="FF0B5C30"/>
        <rFont val="맑은 고딕"/>
        <family val="0"/>
        <charset val="1"/>
      </rPr>
      <t xml:space="preserve">[A27:A34]</t>
    </r>
    <r>
      <rPr>
        <b val="true"/>
        <sz val="10"/>
        <color rgb="FF0B5C30"/>
        <rFont val="WenQuanYi Zen Hei"/>
        <family val="2"/>
      </rPr>
      <t xml:space="preserve">을 찾아 </t>
    </r>
    <r>
      <rPr>
        <b val="true"/>
        <sz val="10"/>
        <color rgb="FF0B5C30"/>
        <rFont val="맑은 고딕"/>
        <family val="0"/>
        <charset val="1"/>
      </rPr>
      <t xml:space="preserve">[E27] </t>
    </r>
    <r>
      <rPr>
        <b val="true"/>
        <sz val="10"/>
        <color rgb="FF0B5C30"/>
        <rFont val="WenQuanYi Zen Hei"/>
        <family val="2"/>
      </rPr>
      <t xml:space="preserve">셀에 표시하시오</t>
    </r>
    <r>
      <rPr>
        <b val="true"/>
        <sz val="10"/>
        <color rgb="FF0B5C30"/>
        <rFont val="맑은 고딕"/>
        <family val="0"/>
        <charset val="1"/>
      </rPr>
      <t xml:space="preserve">. (INDEX, MATCH, MAX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</si>
  <si>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메뉴명</t>
  </si>
  <si>
    <t xml:space="preserve">단가</t>
  </si>
  <si>
    <t xml:space="preserve">아메리카노</t>
  </si>
  <si>
    <t xml:space="preserve">카페라떼</t>
  </si>
  <si>
    <t xml:space="preserve">바닐라라떼</t>
  </si>
  <si>
    <t xml:space="preserve">콜드브루</t>
  </si>
  <si>
    <t xml:space="preserve">녹차라떼</t>
  </si>
  <si>
    <t xml:space="preserve">초코라떼</t>
  </si>
  <si>
    <t xml:space="preserve">유자차</t>
  </si>
  <si>
    <t xml:space="preserve">딸기스무디</t>
  </si>
  <si>
    <r>
      <rPr>
        <b val="true"/>
        <sz val="10"/>
        <color rgb="FF0B5C30"/>
        <rFont val="맑은 고딕"/>
        <family val="0"/>
        <charset val="1"/>
      </rPr>
      <t xml:space="preserve">[</t>
    </r>
    <r>
      <rPr>
        <b val="true"/>
        <sz val="10"/>
        <color rgb="FF0B5C30"/>
        <rFont val="WenQuanYi Zen Hei"/>
        <family val="2"/>
      </rPr>
      <t xml:space="preserve">문제</t>
    </r>
    <r>
      <rPr>
        <b val="true"/>
        <sz val="10"/>
        <color rgb="FF0B5C30"/>
        <rFont val="맑은 고딕"/>
        <family val="0"/>
        <charset val="1"/>
      </rPr>
      <t xml:space="preserve">4] </t>
    </r>
    <r>
      <rPr>
        <b val="true"/>
        <sz val="10"/>
        <color rgb="FF0B5C30"/>
        <rFont val="WenQuanYi Zen Hei"/>
        <family val="2"/>
      </rPr>
      <t xml:space="preserve">발표</t>
    </r>
    <r>
      <rPr>
        <b val="true"/>
        <sz val="10"/>
        <color rgb="FF0B5C30"/>
        <rFont val="맑은 고딕"/>
        <family val="0"/>
        <charset val="1"/>
      </rPr>
      <t xml:space="preserve">·</t>
    </r>
    <r>
      <rPr>
        <b val="true"/>
        <sz val="10"/>
        <color rgb="FF0B5C30"/>
        <rFont val="WenQuanYi Zen Hei"/>
        <family val="2"/>
      </rPr>
      <t xml:space="preserve">과제</t>
    </r>
    <r>
      <rPr>
        <b val="true"/>
        <sz val="10"/>
        <color rgb="FF0B5C30"/>
        <rFont val="맑은 고딕"/>
        <family val="0"/>
        <charset val="1"/>
      </rPr>
      <t xml:space="preserve">·</t>
    </r>
    <r>
      <rPr>
        <b val="true"/>
        <sz val="10"/>
        <color rgb="FF0B5C30"/>
        <rFont val="WenQuanYi Zen Hei"/>
        <family val="2"/>
      </rPr>
      <t xml:space="preserve">시험</t>
    </r>
    <r>
      <rPr>
        <b val="true"/>
        <sz val="10"/>
        <color rgb="FF0B5C30"/>
        <rFont val="맑은 고딕"/>
        <family val="0"/>
        <charset val="1"/>
      </rPr>
      <t xml:space="preserve">[B39:D46] </t>
    </r>
    <r>
      <rPr>
        <b val="true"/>
        <sz val="10"/>
        <color rgb="FF0B5C30"/>
        <rFont val="WenQuanYi Zen Hei"/>
        <family val="2"/>
      </rPr>
      <t xml:space="preserve">평점 평균의 정수 부분이 </t>
    </r>
    <r>
      <rPr>
        <b val="true"/>
        <sz val="10"/>
        <color rgb="FF0B5C30"/>
        <rFont val="맑은 고딕"/>
        <family val="0"/>
        <charset val="1"/>
      </rPr>
      <t xml:space="preserve">1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"D", 2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"C", 3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"B", 4</t>
    </r>
    <r>
      <rPr>
        <b val="true"/>
        <sz val="10"/>
        <color rgb="FF0B5C30"/>
        <rFont val="WenQuanYi Zen Hei"/>
        <family val="2"/>
      </rPr>
      <t xml:space="preserve">이면 </t>
    </r>
    <r>
      <rPr>
        <b val="true"/>
        <sz val="10"/>
        <color rgb="FF0B5C30"/>
        <rFont val="맑은 고딕"/>
        <family val="0"/>
        <charset val="1"/>
      </rPr>
      <t xml:space="preserve">"A"</t>
    </r>
    <r>
      <rPr>
        <b val="true"/>
        <sz val="10"/>
        <color rgb="FF0B5C30"/>
        <rFont val="WenQuanYi Zen Hei"/>
        <family val="2"/>
      </rPr>
      <t xml:space="preserve">를 학점</t>
    </r>
    <r>
      <rPr>
        <b val="true"/>
        <sz val="10"/>
        <color rgb="FF0B5C30"/>
        <rFont val="맑은 고딕"/>
        <family val="0"/>
        <charset val="1"/>
      </rPr>
      <t xml:space="preserve">[E39:E46]</t>
    </r>
    <r>
      <rPr>
        <b val="true"/>
        <sz val="10"/>
        <color rgb="FF0B5C30"/>
        <rFont val="WenQuanYi Zen Hei"/>
        <family val="2"/>
      </rPr>
      <t xml:space="preserve">에 표시하시오</t>
    </r>
    <r>
      <rPr>
        <b val="true"/>
        <sz val="10"/>
        <color rgb="FF0B5C30"/>
        <rFont val="맑은 고딕"/>
        <family val="0"/>
        <charset val="1"/>
      </rPr>
      <t xml:space="preserve">. ▶ "</t>
    </r>
    <r>
      <rPr>
        <b val="true"/>
        <sz val="10"/>
        <color rgb="FF0B5C30"/>
        <rFont val="WenQuanYi Zen Hei"/>
        <family val="2"/>
      </rPr>
      <t xml:space="preserve">결시</t>
    </r>
    <r>
      <rPr>
        <b val="true"/>
        <sz val="10"/>
        <color rgb="FF0B5C30"/>
        <rFont val="맑은 고딕"/>
        <family val="0"/>
        <charset val="1"/>
      </rPr>
      <t xml:space="preserve">"(</t>
    </r>
    <r>
      <rPr>
        <b val="true"/>
        <sz val="10"/>
        <color rgb="FF0B5C30"/>
        <rFont val="WenQuanYi Zen Hei"/>
        <family val="2"/>
      </rPr>
      <t xml:space="preserve">미응시</t>
    </r>
    <r>
      <rPr>
        <b val="true"/>
        <sz val="10"/>
        <color rgb="FF0B5C30"/>
        <rFont val="맑은 고딕"/>
        <family val="0"/>
        <charset val="1"/>
      </rPr>
      <t xml:space="preserve">)</t>
    </r>
    <r>
      <rPr>
        <b val="true"/>
        <sz val="10"/>
        <color rgb="FF0B5C30"/>
        <rFont val="WenQuanYi Zen Hei"/>
        <family val="2"/>
      </rPr>
      <t xml:space="preserve">도 인원에 포함하여 평균을 구할 것 </t>
    </r>
    <r>
      <rPr>
        <b val="true"/>
        <sz val="10"/>
        <color rgb="FF0B5C30"/>
        <rFont val="맑은 고딕"/>
        <family val="0"/>
        <charset val="1"/>
      </rPr>
      <t xml:space="preserve">(CHOOSE, INT, AVERAGEA </t>
    </r>
    <r>
      <rPr>
        <b val="true"/>
        <sz val="10"/>
        <color rgb="FF0B5C30"/>
        <rFont val="WenQuanYi Zen Hei"/>
        <family val="2"/>
      </rPr>
      <t xml:space="preserve">사용</t>
    </r>
    <r>
      <rPr>
        <b val="true"/>
        <sz val="10"/>
        <color rgb="FF0B5C30"/>
        <rFont val="맑은 고딕"/>
        <family val="0"/>
        <charset val="1"/>
      </rPr>
      <t xml:space="preserve">)</t>
    </r>
  </si>
  <si>
    <t xml:space="preserve">학생명</t>
  </si>
  <si>
    <t xml:space="preserve">발표</t>
  </si>
  <si>
    <t xml:space="preserve">과제</t>
  </si>
  <si>
    <t xml:space="preserve">시험</t>
  </si>
  <si>
    <t xml:space="preserve">학점</t>
  </si>
  <si>
    <t xml:space="preserve">강다니엘</t>
  </si>
  <si>
    <t xml:space="preserve">김세정</t>
  </si>
  <si>
    <t xml:space="preserve">박지훈</t>
  </si>
  <si>
    <t xml:space="preserve">옹성우</t>
  </si>
  <si>
    <t xml:space="preserve">결시</t>
  </si>
  <si>
    <t xml:space="preserve">윤보미</t>
  </si>
  <si>
    <t xml:space="preserve">이대휘</t>
  </si>
  <si>
    <t xml:space="preserve">전소미</t>
  </si>
  <si>
    <t xml:space="preserve">황민현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</si>
</sst>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yyyy\-mm\-dd"/>
    <numFmt numFmtId="167" formatCode="hh:mm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5C30"/>
      <name val="맑은 고딕"/>
      <family val="0"/>
      <charset val="1"/>
    </font>
    <font>
      <b val="true"/>
      <sz val="10"/>
      <color rgb="FF0B5C30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9"/>
      <color rgb="FF0B5C30"/>
      <name val="맑은 고딕"/>
      <family val="0"/>
      <charset val="1"/>
    </font>
    <font>
      <b val="true"/>
      <sz val="9"/>
      <color rgb="FF0B5C3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B5C3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C30"/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5"/>
    <col collapsed="false" customWidth="true" hidden="false" outlineLevel="0" max="2" min="2" style="0" width="14.5"/>
    <col collapsed="false" customWidth="true" hidden="false" outlineLevel="0" max="5" min="3" style="0" width="13.5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G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</row>
    <row r="3" customFormat="false" ht="15" hidden="false" customHeight="false" outlineLevel="0" collapsed="false">
      <c r="A3" s="4" t="s">
        <v>6</v>
      </c>
      <c r="B3" s="4" t="s">
        <v>7</v>
      </c>
      <c r="C3" s="5" t="n">
        <v>15</v>
      </c>
      <c r="D3" s="6" t="str">
        <f aca="false">IF(AND(B3="여",C3&gt;=10),"우수회원","")</f>
        <v>우수회원</v>
      </c>
    </row>
    <row r="4" customFormat="false" ht="15" hidden="false" customHeight="false" outlineLevel="0" collapsed="false">
      <c r="A4" s="4" t="s">
        <v>8</v>
      </c>
      <c r="B4" s="4" t="s">
        <v>9</v>
      </c>
      <c r="C4" s="5" t="n">
        <v>18</v>
      </c>
      <c r="D4" s="6" t="str">
        <f aca="false">IF(AND(B4="여",C4&gt;=10),"우수회원","")</f>
        <v/>
      </c>
    </row>
    <row r="5" customFormat="false" ht="15" hidden="false" customHeight="false" outlineLevel="0" collapsed="false">
      <c r="A5" s="4" t="s">
        <v>10</v>
      </c>
      <c r="B5" s="4" t="s">
        <v>7</v>
      </c>
      <c r="C5" s="5" t="n">
        <v>8</v>
      </c>
      <c r="D5" s="6" t="str">
        <f aca="false">IF(AND(B5="여",C5&gt;=10),"우수회원","")</f>
        <v/>
      </c>
    </row>
    <row r="6" customFormat="false" ht="15" hidden="false" customHeight="false" outlineLevel="0" collapsed="false">
      <c r="A6" s="4" t="s">
        <v>11</v>
      </c>
      <c r="B6" s="4" t="s">
        <v>9</v>
      </c>
      <c r="C6" s="5" t="n">
        <v>5</v>
      </c>
      <c r="D6" s="6" t="str">
        <f aca="false">IF(AND(B6="여",C6&gt;=10),"우수회원","")</f>
        <v/>
      </c>
    </row>
    <row r="7" customFormat="false" ht="15" hidden="false" customHeight="false" outlineLevel="0" collapsed="false">
      <c r="A7" s="4" t="s">
        <v>12</v>
      </c>
      <c r="B7" s="4" t="s">
        <v>7</v>
      </c>
      <c r="C7" s="5" t="n">
        <v>12</v>
      </c>
      <c r="D7" s="6" t="str">
        <f aca="false">IF(AND(B7="여",C7&gt;=10),"우수회원","")</f>
        <v>우수회원</v>
      </c>
    </row>
    <row r="8" customFormat="false" ht="15" hidden="false" customHeight="false" outlineLevel="0" collapsed="false">
      <c r="A8" s="4" t="s">
        <v>13</v>
      </c>
      <c r="B8" s="4" t="s">
        <v>9</v>
      </c>
      <c r="C8" s="5" t="n">
        <v>11</v>
      </c>
      <c r="D8" s="6" t="str">
        <f aca="false">IF(AND(B8="여",C8&gt;=10),"우수회원","")</f>
        <v/>
      </c>
    </row>
    <row r="9" customFormat="false" ht="15" hidden="false" customHeight="false" outlineLevel="0" collapsed="false">
      <c r="A9" s="4" t="s">
        <v>14</v>
      </c>
      <c r="B9" s="4" t="s">
        <v>7</v>
      </c>
      <c r="C9" s="5" t="n">
        <v>10</v>
      </c>
      <c r="D9" s="6" t="str">
        <f aca="false">IF(AND(B9="여",C9&gt;=10),"우수회원","")</f>
        <v>우수회원</v>
      </c>
    </row>
    <row r="10" customFormat="false" ht="15" hidden="false" customHeight="false" outlineLevel="0" collapsed="false">
      <c r="A10" s="4" t="s">
        <v>15</v>
      </c>
      <c r="B10" s="4" t="s">
        <v>9</v>
      </c>
      <c r="C10" s="5" t="n">
        <v>9</v>
      </c>
      <c r="D10" s="6" t="str">
        <f aca="false">IF(AND(B10="여",C10&gt;=10),"우수회원","")</f>
        <v/>
      </c>
    </row>
    <row r="13" customFormat="false" ht="42" hidden="false" customHeight="true" outlineLevel="0" collapsed="false">
      <c r="A13" s="1" t="s">
        <v>16</v>
      </c>
      <c r="B13" s="1"/>
      <c r="C13" s="1"/>
      <c r="D13" s="1"/>
      <c r="E13" s="1"/>
    </row>
    <row r="14" customFormat="false" ht="15" hidden="false" customHeight="false" outlineLevel="0" collapsed="false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5</v>
      </c>
    </row>
    <row r="15" customFormat="false" ht="15" hidden="false" customHeight="false" outlineLevel="0" collapsed="false">
      <c r="A15" s="4" t="s">
        <v>21</v>
      </c>
      <c r="B15" s="4" t="s">
        <v>22</v>
      </c>
      <c r="C15" s="7" t="n">
        <v>32.5</v>
      </c>
      <c r="D15" s="7" t="n">
        <v>36.1</v>
      </c>
      <c r="E15" s="6" t="str">
        <f aca="false">IF(OR(C15&lt;=SMALL($C$15:$C$22,3),D15&lt;=SMALL($D$15:$D$22,3)),"본선진출","")</f>
        <v/>
      </c>
    </row>
    <row r="16" customFormat="false" ht="15" hidden="false" customHeight="false" outlineLevel="0" collapsed="false">
      <c r="A16" s="4" t="s">
        <v>23</v>
      </c>
      <c r="B16" s="4" t="s">
        <v>24</v>
      </c>
      <c r="C16" s="7" t="n">
        <v>29.8</v>
      </c>
      <c r="D16" s="7" t="n">
        <v>35.2</v>
      </c>
      <c r="E16" s="6" t="str">
        <f aca="false">IF(OR(C16&lt;=SMALL($C$15:$C$22,3),D16&lt;=SMALL($D$15:$D$22,3)),"본선진출","")</f>
        <v>본선진출</v>
      </c>
    </row>
    <row r="17" customFormat="false" ht="15" hidden="false" customHeight="false" outlineLevel="0" collapsed="false">
      <c r="A17" s="4" t="s">
        <v>25</v>
      </c>
      <c r="B17" s="4" t="s">
        <v>26</v>
      </c>
      <c r="C17" s="7" t="n">
        <v>31.2</v>
      </c>
      <c r="D17" s="7" t="n">
        <v>37.8</v>
      </c>
      <c r="E17" s="6" t="str">
        <f aca="false">IF(OR(C17&lt;=SMALL($C$15:$C$22,3),D17&lt;=SMALL($D$15:$D$22,3)),"본선진출","")</f>
        <v/>
      </c>
    </row>
    <row r="18" customFormat="false" ht="15" hidden="false" customHeight="false" outlineLevel="0" collapsed="false">
      <c r="A18" s="4" t="s">
        <v>27</v>
      </c>
      <c r="B18" s="4" t="s">
        <v>28</v>
      </c>
      <c r="C18" s="7" t="n">
        <v>28.9</v>
      </c>
      <c r="D18" s="7" t="n">
        <v>34.5</v>
      </c>
      <c r="E18" s="6" t="str">
        <f aca="false">IF(OR(C18&lt;=SMALL($C$15:$C$22,3),D18&lt;=SMALL($D$15:$D$22,3)),"본선진출","")</f>
        <v>본선진출</v>
      </c>
    </row>
    <row r="19" customFormat="false" ht="15" hidden="false" customHeight="false" outlineLevel="0" collapsed="false">
      <c r="A19" s="4" t="s">
        <v>29</v>
      </c>
      <c r="B19" s="4" t="s">
        <v>30</v>
      </c>
      <c r="C19" s="7" t="n">
        <v>33.4</v>
      </c>
      <c r="D19" s="7" t="n">
        <v>33.9</v>
      </c>
      <c r="E19" s="6" t="str">
        <f aca="false">IF(OR(C19&lt;=SMALL($C$15:$C$22,3),D19&lt;=SMALL($D$15:$D$22,3)),"본선진출","")</f>
        <v>본선진출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7" t="n">
        <v>30.1</v>
      </c>
      <c r="D20" s="7" t="n">
        <v>36.8</v>
      </c>
      <c r="E20" s="6" t="str">
        <f aca="false">IF(OR(C20&lt;=SMALL($C$15:$C$22,3),D20&lt;=SMALL($D$15:$D$22,3)),"본선진출","")</f>
        <v/>
      </c>
    </row>
    <row r="21" customFormat="false" ht="15" hidden="false" customHeight="false" outlineLevel="0" collapsed="false">
      <c r="A21" s="4" t="s">
        <v>33</v>
      </c>
      <c r="B21" s="4" t="s">
        <v>34</v>
      </c>
      <c r="C21" s="7" t="n">
        <v>34.2</v>
      </c>
      <c r="D21" s="7" t="n">
        <v>35</v>
      </c>
      <c r="E21" s="6" t="str">
        <f aca="false">IF(OR(C21&lt;=SMALL($C$15:$C$22,3),D21&lt;=SMALL($D$15:$D$22,3)),"본선진출","")</f>
        <v>본선진출</v>
      </c>
    </row>
    <row r="22" customFormat="false" ht="15" hidden="false" customHeight="false" outlineLevel="0" collapsed="false">
      <c r="A22" s="4" t="s">
        <v>35</v>
      </c>
      <c r="B22" s="4" t="s">
        <v>36</v>
      </c>
      <c r="C22" s="7" t="n">
        <v>29.5</v>
      </c>
      <c r="D22" s="7" t="n">
        <v>38.2</v>
      </c>
      <c r="E22" s="6" t="str">
        <f aca="false">IF(OR(C22&lt;=SMALL($C$15:$C$22,3),D22&lt;=SMALL($D$15:$D$22,3)),"본선진출","")</f>
        <v>본선진출</v>
      </c>
    </row>
    <row r="25" customFormat="false" ht="42" hidden="false" customHeight="true" outlineLevel="0" collapsed="false">
      <c r="A25" s="1" t="s">
        <v>37</v>
      </c>
      <c r="B25" s="1"/>
      <c r="C25" s="1"/>
      <c r="D25" s="1"/>
      <c r="E25" s="1"/>
    </row>
    <row r="26" customFormat="false" ht="15" hidden="false" customHeight="false" outlineLevel="0" collapsed="false">
      <c r="A26" s="3" t="s">
        <v>38</v>
      </c>
      <c r="B26" s="3" t="s">
        <v>39</v>
      </c>
      <c r="C26" s="3" t="s">
        <v>40</v>
      </c>
      <c r="D26" s="3" t="s">
        <v>41</v>
      </c>
    </row>
    <row r="27" customFormat="false" ht="15" hidden="false" customHeight="false" outlineLevel="0" collapsed="false">
      <c r="A27" s="4" t="s">
        <v>42</v>
      </c>
      <c r="B27" s="4" t="s">
        <v>43</v>
      </c>
      <c r="C27" s="5" t="n">
        <v>95</v>
      </c>
      <c r="D27" s="6" t="str">
        <f aca="false">IF(C27&gt;=90,"우수",IF(C27&gt;=70,"보통","노력"))</f>
        <v>우수</v>
      </c>
    </row>
    <row r="28" customFormat="false" ht="15" hidden="false" customHeight="false" outlineLevel="0" collapsed="false">
      <c r="A28" s="4" t="s">
        <v>44</v>
      </c>
      <c r="B28" s="4" t="s">
        <v>45</v>
      </c>
      <c r="C28" s="5" t="n">
        <v>72</v>
      </c>
      <c r="D28" s="6" t="str">
        <f aca="false">IF(C28&gt;=90,"우수",IF(C28&gt;=70,"보통","노력"))</f>
        <v>보통</v>
      </c>
    </row>
    <row r="29" customFormat="false" ht="15" hidden="false" customHeight="false" outlineLevel="0" collapsed="false">
      <c r="A29" s="4" t="s">
        <v>46</v>
      </c>
      <c r="B29" s="4" t="s">
        <v>47</v>
      </c>
      <c r="C29" s="5" t="n">
        <v>68</v>
      </c>
      <c r="D29" s="6" t="str">
        <f aca="false">IF(C29&gt;=90,"우수",IF(C29&gt;=70,"보통","노력"))</f>
        <v>노력</v>
      </c>
    </row>
    <row r="30" customFormat="false" ht="15" hidden="false" customHeight="false" outlineLevel="0" collapsed="false">
      <c r="A30" s="4" t="s">
        <v>48</v>
      </c>
      <c r="B30" s="4" t="s">
        <v>49</v>
      </c>
      <c r="C30" s="5" t="n">
        <v>88</v>
      </c>
      <c r="D30" s="6" t="str">
        <f aca="false">IF(C30&gt;=90,"우수",IF(C30&gt;=70,"보통","노력"))</f>
        <v>보통</v>
      </c>
    </row>
    <row r="31" customFormat="false" ht="15" hidden="false" customHeight="false" outlineLevel="0" collapsed="false">
      <c r="A31" s="4" t="s">
        <v>50</v>
      </c>
      <c r="B31" s="4" t="s">
        <v>51</v>
      </c>
      <c r="C31" s="5" t="n">
        <v>91</v>
      </c>
      <c r="D31" s="6" t="str">
        <f aca="false">IF(C31&gt;=90,"우수",IF(C31&gt;=70,"보통","노력"))</f>
        <v>우수</v>
      </c>
    </row>
    <row r="32" customFormat="false" ht="15" hidden="false" customHeight="false" outlineLevel="0" collapsed="false">
      <c r="A32" s="4" t="s">
        <v>52</v>
      </c>
      <c r="B32" s="4" t="s">
        <v>53</v>
      </c>
      <c r="C32" s="5" t="n">
        <v>70</v>
      </c>
      <c r="D32" s="6" t="str">
        <f aca="false">IF(C32&gt;=90,"우수",IF(C32&gt;=70,"보통","노력"))</f>
        <v>보통</v>
      </c>
    </row>
    <row r="33" customFormat="false" ht="15" hidden="false" customHeight="false" outlineLevel="0" collapsed="false">
      <c r="A33" s="4" t="s">
        <v>54</v>
      </c>
      <c r="B33" s="4" t="s">
        <v>55</v>
      </c>
      <c r="C33" s="5" t="n">
        <v>55</v>
      </c>
      <c r="D33" s="6" t="str">
        <f aca="false">IF(C33&gt;=90,"우수",IF(C33&gt;=70,"보통","노력"))</f>
        <v>노력</v>
      </c>
    </row>
    <row r="34" customFormat="false" ht="15" hidden="false" customHeight="false" outlineLevel="0" collapsed="false">
      <c r="A34" s="4" t="s">
        <v>56</v>
      </c>
      <c r="B34" s="4" t="s">
        <v>57</v>
      </c>
      <c r="C34" s="5" t="n">
        <v>79</v>
      </c>
      <c r="D34" s="6" t="str">
        <f aca="false">IF(C34&gt;=90,"우수",IF(C34&gt;=70,"보통","노력"))</f>
        <v>보통</v>
      </c>
    </row>
    <row r="37" customFormat="false" ht="42" hidden="false" customHeight="true" outlineLevel="0" collapsed="false">
      <c r="A37" s="1" t="s">
        <v>58</v>
      </c>
      <c r="B37" s="1"/>
      <c r="C37" s="1"/>
      <c r="D37" s="1"/>
      <c r="E37" s="1"/>
    </row>
    <row r="38" customFormat="false" ht="15" hidden="false" customHeight="false" outlineLevel="0" collapsed="false">
      <c r="A38" s="3" t="s">
        <v>59</v>
      </c>
      <c r="B38" s="3" t="s">
        <v>60</v>
      </c>
      <c r="C38" s="3" t="s">
        <v>61</v>
      </c>
    </row>
    <row r="39" customFormat="false" ht="15" hidden="false" customHeight="false" outlineLevel="0" collapsed="false">
      <c r="A39" s="4" t="s">
        <v>62</v>
      </c>
      <c r="B39" s="8" t="n">
        <v>46083</v>
      </c>
      <c r="C39" s="6" t="str">
        <f aca="false">IF(WEEKDAY(B39,2)&gt;=6,"주말반","평일반")</f>
        <v>평일반</v>
      </c>
    </row>
    <row r="40" customFormat="false" ht="15" hidden="false" customHeight="false" outlineLevel="0" collapsed="false">
      <c r="A40" s="4" t="s">
        <v>63</v>
      </c>
      <c r="B40" s="8" t="n">
        <v>46088</v>
      </c>
      <c r="C40" s="6" t="str">
        <f aca="false">IF(WEEKDAY(B40,2)&gt;=6,"주말반","평일반")</f>
        <v>주말반</v>
      </c>
    </row>
    <row r="41" customFormat="false" ht="15" hidden="false" customHeight="false" outlineLevel="0" collapsed="false">
      <c r="A41" s="4" t="s">
        <v>64</v>
      </c>
      <c r="B41" s="8" t="n">
        <v>46092</v>
      </c>
      <c r="C41" s="6" t="str">
        <f aca="false">IF(WEEKDAY(B41,2)&gt;=6,"주말반","평일반")</f>
        <v>평일반</v>
      </c>
    </row>
    <row r="42" customFormat="false" ht="15" hidden="false" customHeight="false" outlineLevel="0" collapsed="false">
      <c r="A42" s="4" t="s">
        <v>65</v>
      </c>
      <c r="B42" s="8" t="n">
        <v>46096</v>
      </c>
      <c r="C42" s="6" t="str">
        <f aca="false">IF(WEEKDAY(B42,2)&gt;=6,"주말반","평일반")</f>
        <v>주말반</v>
      </c>
    </row>
    <row r="43" customFormat="false" ht="15" hidden="false" customHeight="false" outlineLevel="0" collapsed="false">
      <c r="A43" s="4" t="s">
        <v>66</v>
      </c>
      <c r="B43" s="8" t="n">
        <v>46101</v>
      </c>
      <c r="C43" s="6" t="str">
        <f aca="false">IF(WEEKDAY(B43,2)&gt;=6,"주말반","평일반")</f>
        <v>평일반</v>
      </c>
    </row>
    <row r="44" customFormat="false" ht="15" hidden="false" customHeight="false" outlineLevel="0" collapsed="false">
      <c r="A44" s="4" t="s">
        <v>67</v>
      </c>
      <c r="B44" s="8" t="n">
        <v>46102</v>
      </c>
      <c r="C44" s="6" t="str">
        <f aca="false">IF(WEEKDAY(B44,2)&gt;=6,"주말반","평일반")</f>
        <v>주말반</v>
      </c>
    </row>
    <row r="45" customFormat="false" ht="15" hidden="false" customHeight="false" outlineLevel="0" collapsed="false">
      <c r="A45" s="4" t="s">
        <v>68</v>
      </c>
      <c r="B45" s="8" t="n">
        <v>46106</v>
      </c>
      <c r="C45" s="6" t="str">
        <f aca="false">IF(WEEKDAY(B45,2)&gt;=6,"주말반","평일반")</f>
        <v>평일반</v>
      </c>
    </row>
    <row r="46" customFormat="false" ht="15" hidden="false" customHeight="false" outlineLevel="0" collapsed="false">
      <c r="A46" s="4" t="s">
        <v>69</v>
      </c>
      <c r="B46" s="8" t="n">
        <v>46110</v>
      </c>
      <c r="C46" s="6" t="str">
        <f aca="false">IF(WEEKDAY(B46,2)&gt;=6,"주말반","평일반")</f>
        <v>주말반</v>
      </c>
    </row>
  </sheetData>
  <mergeCells count="4">
    <mergeCell ref="A1:E1"/>
    <mergeCell ref="A13:E13"/>
    <mergeCell ref="A25:E2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C30"/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.5"/>
    <col collapsed="false" customWidth="true" hidden="false" outlineLevel="0" max="4" min="3" style="0" width="12.5"/>
    <col collapsed="false" customWidth="true" hidden="false" outlineLevel="0" max="6" min="6" style="0" width="11.5"/>
    <col collapsed="false" customWidth="true" hidden="false" outlineLevel="0" max="7" min="7" style="0" width="14.5"/>
  </cols>
  <sheetData>
    <row r="1" customFormat="false" ht="42" hidden="false" customHeight="true" outlineLevel="0" collapsed="false">
      <c r="A1" s="1" t="s">
        <v>70</v>
      </c>
      <c r="B1" s="1"/>
      <c r="C1" s="1"/>
      <c r="D1" s="1"/>
      <c r="E1" s="1"/>
      <c r="I1" s="2" t="s">
        <v>1</v>
      </c>
    </row>
    <row r="2" customFormat="false" ht="15" hidden="false" customHeight="false" outlineLevel="0" collapsed="false">
      <c r="A2" s="3" t="s">
        <v>2</v>
      </c>
      <c r="B2" s="3" t="s">
        <v>71</v>
      </c>
      <c r="C2" s="3" t="s">
        <v>72</v>
      </c>
      <c r="D2" s="3" t="s">
        <v>73</v>
      </c>
    </row>
    <row r="3" customFormat="false" ht="15" hidden="false" customHeight="false" outlineLevel="0" collapsed="false">
      <c r="A3" s="4" t="s">
        <v>74</v>
      </c>
      <c r="B3" s="9" t="n">
        <v>0.385416666666667</v>
      </c>
      <c r="C3" s="9" t="n">
        <v>0.489583333333333</v>
      </c>
      <c r="D3" s="10" t="n">
        <f aca="false">(HOUR(C3-B3)*60+MINUTE(C3-B3))*50</f>
        <v>7500</v>
      </c>
    </row>
    <row r="4" customFormat="false" ht="15" hidden="false" customHeight="false" outlineLevel="0" collapsed="false">
      <c r="A4" s="4" t="s">
        <v>75</v>
      </c>
      <c r="B4" s="9" t="n">
        <v>0.416666666666667</v>
      </c>
      <c r="C4" s="9" t="n">
        <v>0.5625</v>
      </c>
      <c r="D4" s="10" t="n">
        <f aca="false">(HOUR(C4-B4)*60+MINUTE(C4-B4))*50</f>
        <v>10500</v>
      </c>
    </row>
    <row r="5" customFormat="false" ht="15" hidden="false" customHeight="false" outlineLevel="0" collapsed="false">
      <c r="A5" s="4" t="s">
        <v>76</v>
      </c>
      <c r="B5" s="9" t="n">
        <v>0.555555555555556</v>
      </c>
      <c r="C5" s="9" t="n">
        <v>0.628472222222222</v>
      </c>
      <c r="D5" s="10" t="n">
        <f aca="false">(HOUR(C5-B5)*60+MINUTE(C5-B5))*50</f>
        <v>5250</v>
      </c>
    </row>
    <row r="6" customFormat="false" ht="15" hidden="false" customHeight="false" outlineLevel="0" collapsed="false">
      <c r="A6" s="4" t="s">
        <v>77</v>
      </c>
      <c r="B6" s="9" t="n">
        <v>0.402777777777778</v>
      </c>
      <c r="C6" s="9" t="n">
        <v>0.506944444444444</v>
      </c>
      <c r="D6" s="10" t="n">
        <f aca="false">(HOUR(C6-B6)*60+MINUTE(C6-B6))*50</f>
        <v>7500</v>
      </c>
    </row>
    <row r="7" customFormat="false" ht="15" hidden="false" customHeight="false" outlineLevel="0" collapsed="false">
      <c r="A7" s="4" t="s">
        <v>78</v>
      </c>
      <c r="B7" s="9" t="n">
        <v>0.583333333333333</v>
      </c>
      <c r="C7" s="9" t="n">
        <v>0.767361111111111</v>
      </c>
      <c r="D7" s="10" t="n">
        <f aca="false">(HOUR(C7-B7)*60+MINUTE(C7-B7))*50</f>
        <v>13250</v>
      </c>
    </row>
    <row r="8" customFormat="false" ht="15" hidden="false" customHeight="false" outlineLevel="0" collapsed="false">
      <c r="A8" s="4" t="s">
        <v>79</v>
      </c>
      <c r="B8" s="9" t="n">
        <v>0.479166666666667</v>
      </c>
      <c r="C8" s="9" t="n">
        <v>0.538194444444444</v>
      </c>
      <c r="D8" s="10" t="n">
        <f aca="false">(HOUR(C8-B8)*60+MINUTE(C8-B8))*50</f>
        <v>4250</v>
      </c>
    </row>
    <row r="9" customFormat="false" ht="15" hidden="false" customHeight="false" outlineLevel="0" collapsed="false">
      <c r="A9" s="4" t="s">
        <v>80</v>
      </c>
      <c r="B9" s="9" t="n">
        <v>0.631944444444444</v>
      </c>
      <c r="C9" s="9" t="n">
        <v>0.819444444444444</v>
      </c>
      <c r="D9" s="10" t="n">
        <f aca="false">(HOUR(C9-B9)*60+MINUTE(C9-B9))*50</f>
        <v>13500</v>
      </c>
    </row>
    <row r="10" customFormat="false" ht="15" hidden="false" customHeight="false" outlineLevel="0" collapsed="false">
      <c r="A10" s="4" t="s">
        <v>81</v>
      </c>
      <c r="B10" s="9" t="n">
        <v>0.368055555555556</v>
      </c>
      <c r="C10" s="9" t="n">
        <v>0.440972222222222</v>
      </c>
      <c r="D10" s="10" t="n">
        <f aca="false">(HOUR(C10-B10)*60+MINUTE(C10-B10))*50</f>
        <v>5250</v>
      </c>
    </row>
    <row r="13" customFormat="false" ht="42" hidden="false" customHeight="true" outlineLevel="0" collapsed="false">
      <c r="A13" s="1" t="s">
        <v>82</v>
      </c>
      <c r="B13" s="1"/>
      <c r="C13" s="1"/>
      <c r="D13" s="1"/>
      <c r="E13" s="1"/>
    </row>
    <row r="14" customFormat="false" ht="15" hidden="false" customHeight="false" outlineLevel="0" collapsed="false">
      <c r="A14" s="3" t="s">
        <v>83</v>
      </c>
      <c r="B14" s="3" t="s">
        <v>84</v>
      </c>
      <c r="C14" s="3" t="s">
        <v>85</v>
      </c>
      <c r="D14" s="3" t="s">
        <v>86</v>
      </c>
    </row>
    <row r="15" customFormat="false" ht="15" hidden="false" customHeight="false" outlineLevel="0" collapsed="false">
      <c r="A15" s="4" t="s">
        <v>87</v>
      </c>
      <c r="B15" s="9" t="n">
        <v>0.375</v>
      </c>
      <c r="C15" s="9" t="n">
        <v>0.486111111111111</v>
      </c>
      <c r="D15" s="6" t="str">
        <f aca="false">IF(MINUTE(C15-B15)&gt;=30,HOUR(C15-B15)+1,HOUR(C15-B15))&amp;"시간"</f>
        <v>3시간</v>
      </c>
    </row>
    <row r="16" customFormat="false" ht="15" hidden="false" customHeight="false" outlineLevel="0" collapsed="false">
      <c r="A16" s="4" t="s">
        <v>88</v>
      </c>
      <c r="B16" s="9" t="n">
        <v>0.4375</v>
      </c>
      <c r="C16" s="9" t="n">
        <v>0.513888888888889</v>
      </c>
      <c r="D16" s="6" t="str">
        <f aca="false">IF(MINUTE(C16-B16)&gt;=30,HOUR(C16-B16)+1,HOUR(C16-B16))&amp;"시간"</f>
        <v>2시간</v>
      </c>
    </row>
    <row r="17" customFormat="false" ht="15" hidden="false" customHeight="false" outlineLevel="0" collapsed="false">
      <c r="A17" s="4" t="s">
        <v>89</v>
      </c>
      <c r="B17" s="9" t="n">
        <v>0.541666666666667</v>
      </c>
      <c r="C17" s="9" t="n">
        <v>0.631944444444444</v>
      </c>
      <c r="D17" s="6" t="str">
        <f aca="false">IF(MINUTE(C17-B17)&gt;=30,HOUR(C17-B17)+1,HOUR(C17-B17))&amp;"시간"</f>
        <v>2시간</v>
      </c>
    </row>
    <row r="18" customFormat="false" ht="15" hidden="false" customHeight="false" outlineLevel="0" collapsed="false">
      <c r="A18" s="4" t="s">
        <v>90</v>
      </c>
      <c r="B18" s="9" t="n">
        <v>0.597222222222222</v>
      </c>
      <c r="C18" s="9" t="n">
        <v>0.743055555555556</v>
      </c>
      <c r="D18" s="6" t="str">
        <f aca="false">IF(MINUTE(C18-B18)&gt;=30,HOUR(C18-B18)+1,HOUR(C18-B18))&amp;"시간"</f>
        <v>4시간</v>
      </c>
    </row>
    <row r="19" customFormat="false" ht="15" hidden="false" customHeight="false" outlineLevel="0" collapsed="false">
      <c r="A19" s="4" t="s">
        <v>91</v>
      </c>
      <c r="B19" s="9" t="n">
        <v>0.381944444444444</v>
      </c>
      <c r="C19" s="9" t="n">
        <v>0.434027777777778</v>
      </c>
      <c r="D19" s="6" t="str">
        <f aca="false">IF(MINUTE(C19-B19)&gt;=30,HOUR(C19-B19)+1,HOUR(C19-B19))&amp;"시간"</f>
        <v>1시간</v>
      </c>
    </row>
    <row r="20" customFormat="false" ht="15" hidden="false" customHeight="false" outlineLevel="0" collapsed="false">
      <c r="A20" s="4" t="s">
        <v>92</v>
      </c>
      <c r="B20" s="9" t="n">
        <v>0.625</v>
      </c>
      <c r="C20" s="9" t="n">
        <v>0.78125</v>
      </c>
      <c r="D20" s="6" t="str">
        <f aca="false">IF(MINUTE(C20-B20)&gt;=30,HOUR(C20-B20)+1,HOUR(C20-B20))&amp;"시간"</f>
        <v>4시간</v>
      </c>
    </row>
    <row r="21" customFormat="false" ht="15" hidden="false" customHeight="false" outlineLevel="0" collapsed="false">
      <c r="A21" s="4" t="s">
        <v>93</v>
      </c>
      <c r="B21" s="9" t="n">
        <v>0.416666666666667</v>
      </c>
      <c r="C21" s="9" t="n">
        <v>0.5</v>
      </c>
      <c r="D21" s="6" t="str">
        <f aca="false">IF(MINUTE(C21-B21)&gt;=30,HOUR(C21-B21)+1,HOUR(C21-B21))&amp;"시간"</f>
        <v>2시간</v>
      </c>
    </row>
    <row r="22" customFormat="false" ht="15" hidden="false" customHeight="false" outlineLevel="0" collapsed="false">
      <c r="A22" s="4" t="s">
        <v>94</v>
      </c>
      <c r="B22" s="9" t="n">
        <v>0.569444444444444</v>
      </c>
      <c r="C22" s="9" t="n">
        <v>0.704861111111111</v>
      </c>
      <c r="D22" s="6" t="str">
        <f aca="false">IF(MINUTE(C22-B22)&gt;=30,HOUR(C22-B22)+1,HOUR(C22-B22))&amp;"시간"</f>
        <v>3시간</v>
      </c>
    </row>
    <row r="25" customFormat="false" ht="42" hidden="false" customHeight="true" outlineLevel="0" collapsed="false">
      <c r="A25" s="1" t="s">
        <v>95</v>
      </c>
      <c r="B25" s="1"/>
      <c r="C25" s="1"/>
      <c r="D25" s="1"/>
      <c r="E25" s="1"/>
      <c r="F25" s="11" t="s">
        <v>96</v>
      </c>
    </row>
    <row r="26" customFormat="false" ht="15" hidden="false" customHeight="false" outlineLevel="0" collapsed="false">
      <c r="A26" s="3" t="s">
        <v>97</v>
      </c>
      <c r="B26" s="3" t="s">
        <v>98</v>
      </c>
      <c r="C26" s="3" t="s">
        <v>99</v>
      </c>
      <c r="D26" s="3" t="s">
        <v>100</v>
      </c>
      <c r="F26" s="3" t="s">
        <v>101</v>
      </c>
      <c r="G26" s="8" t="n">
        <v>46387</v>
      </c>
    </row>
    <row r="27" customFormat="false" ht="15" hidden="false" customHeight="false" outlineLevel="0" collapsed="false">
      <c r="A27" s="4" t="s">
        <v>102</v>
      </c>
      <c r="B27" s="8" t="n">
        <v>42065</v>
      </c>
      <c r="C27" s="4" t="s">
        <v>103</v>
      </c>
      <c r="D27" s="6" t="str">
        <f aca="false">YEAR($G$26)-YEAR(B27)&amp;"년"</f>
        <v>11년</v>
      </c>
    </row>
    <row r="28" customFormat="false" ht="15" hidden="false" customHeight="false" outlineLevel="0" collapsed="false">
      <c r="A28" s="4" t="s">
        <v>104</v>
      </c>
      <c r="B28" s="8" t="n">
        <v>43297</v>
      </c>
      <c r="C28" s="4" t="s">
        <v>105</v>
      </c>
      <c r="D28" s="6" t="str">
        <f aca="false">YEAR($G$26)-YEAR(B28)&amp;"년"</f>
        <v>8년</v>
      </c>
    </row>
    <row r="29" customFormat="false" ht="15" hidden="false" customHeight="false" outlineLevel="0" collapsed="false">
      <c r="A29" s="4" t="s">
        <v>106</v>
      </c>
      <c r="B29" s="8" t="n">
        <v>43836</v>
      </c>
      <c r="C29" s="4" t="s">
        <v>107</v>
      </c>
      <c r="D29" s="6" t="str">
        <f aca="false">YEAR($G$26)-YEAR(B29)&amp;"년"</f>
        <v>6년</v>
      </c>
    </row>
    <row r="30" customFormat="false" ht="15" hidden="false" customHeight="false" outlineLevel="0" collapsed="false">
      <c r="A30" s="4" t="s">
        <v>108</v>
      </c>
      <c r="B30" s="8" t="n">
        <v>40805</v>
      </c>
      <c r="C30" s="4" t="s">
        <v>105</v>
      </c>
      <c r="D30" s="6" t="str">
        <f aca="false">YEAR($G$26)-YEAR(B30)&amp;"년"</f>
        <v>15년</v>
      </c>
    </row>
    <row r="31" customFormat="false" ht="15" hidden="false" customHeight="false" outlineLevel="0" collapsed="false">
      <c r="A31" s="4" t="s">
        <v>109</v>
      </c>
      <c r="B31" s="8" t="n">
        <v>43773</v>
      </c>
      <c r="C31" s="4" t="s">
        <v>110</v>
      </c>
      <c r="D31" s="6" t="str">
        <f aca="false">YEAR($G$26)-YEAR(B31)&amp;"년"</f>
        <v>7년</v>
      </c>
    </row>
    <row r="32" customFormat="false" ht="15" hidden="false" customHeight="false" outlineLevel="0" collapsed="false">
      <c r="A32" s="4" t="s">
        <v>111</v>
      </c>
      <c r="B32" s="8" t="n">
        <v>44704</v>
      </c>
      <c r="C32" s="4" t="s">
        <v>103</v>
      </c>
      <c r="D32" s="6" t="str">
        <f aca="false">YEAR($G$26)-YEAR(B32)&amp;"년"</f>
        <v>4년</v>
      </c>
    </row>
    <row r="33" customFormat="false" ht="15" hidden="false" customHeight="false" outlineLevel="0" collapsed="false">
      <c r="A33" s="4" t="s">
        <v>112</v>
      </c>
      <c r="B33" s="8" t="n">
        <v>42415</v>
      </c>
      <c r="C33" s="4" t="s">
        <v>107</v>
      </c>
      <c r="D33" s="6" t="str">
        <f aca="false">YEAR($G$26)-YEAR(B33)&amp;"년"</f>
        <v>10년</v>
      </c>
    </row>
    <row r="34" customFormat="false" ht="15" hidden="false" customHeight="false" outlineLevel="0" collapsed="false">
      <c r="A34" s="4" t="s">
        <v>113</v>
      </c>
      <c r="B34" s="8" t="n">
        <v>45505</v>
      </c>
      <c r="C34" s="4" t="s">
        <v>110</v>
      </c>
      <c r="D34" s="6" t="str">
        <f aca="false">YEAR($G$26)-YEAR(B34)&amp;"년"</f>
        <v>2년</v>
      </c>
    </row>
    <row r="37" customFormat="false" ht="42" hidden="false" customHeight="true" outlineLevel="0" collapsed="false">
      <c r="A37" s="1" t="s">
        <v>114</v>
      </c>
      <c r="B37" s="1"/>
      <c r="C37" s="1"/>
      <c r="D37" s="1"/>
      <c r="E37" s="1"/>
    </row>
    <row r="38" customFormat="false" ht="15" hidden="false" customHeight="false" outlineLevel="0" collapsed="false">
      <c r="A38" s="3" t="s">
        <v>115</v>
      </c>
      <c r="B38" s="3" t="s">
        <v>116</v>
      </c>
      <c r="C38" s="3" t="s">
        <v>117</v>
      </c>
    </row>
    <row r="39" customFormat="false" ht="15" hidden="false" customHeight="false" outlineLevel="0" collapsed="false">
      <c r="A39" s="4" t="s">
        <v>118</v>
      </c>
      <c r="B39" s="8" t="n">
        <v>46143</v>
      </c>
      <c r="C39" s="6" t="str">
        <f aca="false">CHOOSE(WEEKDAY(B39),"일","월","화","수","목","금","토")&amp;"요일"</f>
        <v>금요일</v>
      </c>
    </row>
    <row r="40" customFormat="false" ht="15" hidden="false" customHeight="false" outlineLevel="0" collapsed="false">
      <c r="A40" s="4" t="s">
        <v>119</v>
      </c>
      <c r="B40" s="8" t="n">
        <v>46147</v>
      </c>
      <c r="C40" s="6" t="str">
        <f aca="false">CHOOSE(WEEKDAY(B40),"일","월","화","수","목","금","토")&amp;"요일"</f>
        <v>화요일</v>
      </c>
    </row>
    <row r="41" customFormat="false" ht="15" hidden="false" customHeight="false" outlineLevel="0" collapsed="false">
      <c r="A41" s="4" t="s">
        <v>120</v>
      </c>
      <c r="B41" s="8" t="n">
        <v>46151</v>
      </c>
      <c r="C41" s="6" t="str">
        <f aca="false">CHOOSE(WEEKDAY(B41),"일","월","화","수","목","금","토")&amp;"요일"</f>
        <v>토요일</v>
      </c>
    </row>
    <row r="42" customFormat="false" ht="15" hidden="false" customHeight="false" outlineLevel="0" collapsed="false">
      <c r="A42" s="4" t="s">
        <v>121</v>
      </c>
      <c r="B42" s="8" t="n">
        <v>46152</v>
      </c>
      <c r="C42" s="6" t="str">
        <f aca="false">CHOOSE(WEEKDAY(B42),"일","월","화","수","목","금","토")&amp;"요일"</f>
        <v>일요일</v>
      </c>
    </row>
    <row r="43" customFormat="false" ht="15" hidden="false" customHeight="false" outlineLevel="0" collapsed="false">
      <c r="A43" s="4" t="s">
        <v>122</v>
      </c>
      <c r="B43" s="8" t="n">
        <v>46155</v>
      </c>
      <c r="C43" s="6" t="str">
        <f aca="false">CHOOSE(WEEKDAY(B43),"일","월","화","수","목","금","토")&amp;"요일"</f>
        <v>수요일</v>
      </c>
    </row>
    <row r="44" customFormat="false" ht="15" hidden="false" customHeight="false" outlineLevel="0" collapsed="false">
      <c r="A44" s="4" t="s">
        <v>123</v>
      </c>
      <c r="B44" s="8" t="n">
        <v>46160</v>
      </c>
      <c r="C44" s="6" t="str">
        <f aca="false">CHOOSE(WEEKDAY(B44),"일","월","화","수","목","금","토")&amp;"요일"</f>
        <v>월요일</v>
      </c>
    </row>
    <row r="45" customFormat="false" ht="15" hidden="false" customHeight="false" outlineLevel="0" collapsed="false">
      <c r="A45" s="4" t="s">
        <v>124</v>
      </c>
      <c r="B45" s="8" t="n">
        <v>46163</v>
      </c>
      <c r="C45" s="6" t="str">
        <f aca="false">CHOOSE(WEEKDAY(B45),"일","월","화","수","목","금","토")&amp;"요일"</f>
        <v>목요일</v>
      </c>
    </row>
    <row r="46" customFormat="false" ht="15" hidden="false" customHeight="false" outlineLevel="0" collapsed="false">
      <c r="A46" s="4" t="s">
        <v>125</v>
      </c>
      <c r="B46" s="8" t="n">
        <v>46165</v>
      </c>
      <c r="C46" s="6" t="str">
        <f aca="false">CHOOSE(WEEKDAY(B46),"일","월","화","수","목","금","토")&amp;"요일"</f>
        <v>토요일</v>
      </c>
    </row>
  </sheetData>
  <mergeCells count="4">
    <mergeCell ref="A1:E1"/>
    <mergeCell ref="A13:E13"/>
    <mergeCell ref="A25:E2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C30"/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18.5"/>
    <col collapsed="false" customWidth="true" hidden="false" outlineLevel="0" max="4" min="3" style="0" width="12.5"/>
    <col collapsed="false" customWidth="true" hidden="false" outlineLevel="0" max="7" min="7" style="0" width="10.5"/>
    <col collapsed="false" customWidth="true" hidden="false" outlineLevel="0" max="8" min="8" style="0" width="12.5"/>
    <col collapsed="false" customWidth="true" hidden="false" outlineLevel="0" max="10" min="9" style="0" width="10.5"/>
  </cols>
  <sheetData>
    <row r="1" customFormat="false" ht="42" hidden="false" customHeight="true" outlineLevel="0" collapsed="false">
      <c r="A1" s="1" t="s">
        <v>126</v>
      </c>
      <c r="B1" s="1"/>
      <c r="C1" s="1"/>
      <c r="D1" s="1"/>
      <c r="E1" s="1"/>
      <c r="G1" s="11" t="s">
        <v>127</v>
      </c>
      <c r="J1" s="2" t="s">
        <v>1</v>
      </c>
    </row>
    <row r="2" customFormat="false" ht="15" hidden="false" customHeight="false" outlineLevel="0" collapsed="false">
      <c r="A2" s="3" t="s">
        <v>128</v>
      </c>
      <c r="B2" s="3" t="s">
        <v>129</v>
      </c>
      <c r="C2" s="3" t="s">
        <v>130</v>
      </c>
      <c r="G2" s="3" t="s">
        <v>131</v>
      </c>
      <c r="H2" s="3" t="s">
        <v>132</v>
      </c>
    </row>
    <row r="3" customFormat="false" ht="15" hidden="false" customHeight="false" outlineLevel="0" collapsed="false">
      <c r="A3" s="12" t="s">
        <v>133</v>
      </c>
      <c r="B3" s="4" t="s">
        <v>134</v>
      </c>
      <c r="C3" s="6" t="str">
        <f aca="false">IFERROR(VLOOKUP(LEFT(A3,2),$G$3:$H$5,2,0),"코드오류")</f>
        <v>노트북</v>
      </c>
      <c r="G3" s="5" t="s">
        <v>135</v>
      </c>
      <c r="H3" s="13" t="s">
        <v>136</v>
      </c>
    </row>
    <row r="4" customFormat="false" ht="15" hidden="false" customHeight="false" outlineLevel="0" collapsed="false">
      <c r="A4" s="12" t="s">
        <v>137</v>
      </c>
      <c r="B4" s="4" t="s">
        <v>138</v>
      </c>
      <c r="C4" s="6" t="str">
        <f aca="false">IFERROR(VLOOKUP(LEFT(A4,2),$G$3:$H$5,2,0),"코드오류")</f>
        <v>텔레비전</v>
      </c>
      <c r="G4" s="5" t="s">
        <v>139</v>
      </c>
      <c r="H4" s="13" t="s">
        <v>140</v>
      </c>
    </row>
    <row r="5" customFormat="false" ht="15" hidden="false" customHeight="false" outlineLevel="0" collapsed="false">
      <c r="A5" s="12" t="s">
        <v>141</v>
      </c>
      <c r="B5" s="4" t="s">
        <v>142</v>
      </c>
      <c r="C5" s="6" t="str">
        <f aca="false">IFERROR(VLOOKUP(LEFT(A5,2),$G$3:$H$5,2,0),"코드오류")</f>
        <v>냉장고</v>
      </c>
      <c r="G5" s="5" t="s">
        <v>143</v>
      </c>
      <c r="H5" s="13" t="s">
        <v>144</v>
      </c>
    </row>
    <row r="6" customFormat="false" ht="15" hidden="false" customHeight="false" outlineLevel="0" collapsed="false">
      <c r="A6" s="12" t="s">
        <v>145</v>
      </c>
      <c r="B6" s="4" t="s">
        <v>146</v>
      </c>
      <c r="C6" s="6" t="str">
        <f aca="false">IFERROR(VLOOKUP(LEFT(A6,2),$G$3:$H$5,2,0),"코드오류")</f>
        <v>노트북</v>
      </c>
    </row>
    <row r="7" customFormat="false" ht="15" hidden="false" customHeight="false" outlineLevel="0" collapsed="false">
      <c r="A7" s="12" t="s">
        <v>147</v>
      </c>
      <c r="B7" s="4" t="s">
        <v>148</v>
      </c>
      <c r="C7" s="6" t="str">
        <f aca="false">IFERROR(VLOOKUP(LEFT(A7,2),$G$3:$H$5,2,0),"코드오류")</f>
        <v>코드오류</v>
      </c>
    </row>
    <row r="8" customFormat="false" ht="15" hidden="false" customHeight="false" outlineLevel="0" collapsed="false">
      <c r="A8" s="12" t="s">
        <v>149</v>
      </c>
      <c r="B8" s="12" t="s">
        <v>150</v>
      </c>
      <c r="C8" s="6" t="str">
        <f aca="false">IFERROR(VLOOKUP(LEFT(A8,2),$G$3:$H$5,2,0),"코드오류")</f>
        <v>텔레비전</v>
      </c>
    </row>
    <row r="9" customFormat="false" ht="15" hidden="false" customHeight="false" outlineLevel="0" collapsed="false">
      <c r="A9" s="12" t="s">
        <v>151</v>
      </c>
      <c r="B9" s="4" t="s">
        <v>152</v>
      </c>
      <c r="C9" s="6" t="str">
        <f aca="false">IFERROR(VLOOKUP(LEFT(A9,2),$G$3:$H$5,2,0),"코드오류")</f>
        <v>코드오류</v>
      </c>
    </row>
    <row r="10" customFormat="false" ht="15" hidden="false" customHeight="false" outlineLevel="0" collapsed="false">
      <c r="A10" s="12" t="s">
        <v>153</v>
      </c>
      <c r="B10" s="4" t="s">
        <v>154</v>
      </c>
      <c r="C10" s="6" t="str">
        <f aca="false">IFERROR(VLOOKUP(LEFT(A10,2),$G$3:$H$5,2,0),"코드오류")</f>
        <v>냉장고</v>
      </c>
    </row>
    <row r="13" customFormat="false" ht="42" hidden="false" customHeight="true" outlineLevel="0" collapsed="false">
      <c r="A13" s="1" t="s">
        <v>155</v>
      </c>
      <c r="B13" s="1"/>
      <c r="C13" s="1"/>
      <c r="D13" s="1"/>
      <c r="E13" s="1"/>
      <c r="G13" s="11" t="s">
        <v>156</v>
      </c>
    </row>
    <row r="14" customFormat="false" ht="15" hidden="false" customHeight="false" outlineLevel="0" collapsed="false">
      <c r="A14" s="3" t="s">
        <v>157</v>
      </c>
      <c r="B14" s="3" t="s">
        <v>158</v>
      </c>
      <c r="C14" s="3" t="s">
        <v>159</v>
      </c>
      <c r="G14" s="3" t="n">
        <v>0</v>
      </c>
      <c r="H14" s="3" t="n">
        <v>500</v>
      </c>
      <c r="I14" s="3" t="n">
        <v>1000</v>
      </c>
    </row>
    <row r="15" customFormat="false" ht="15" hidden="false" customHeight="false" outlineLevel="0" collapsed="false">
      <c r="A15" s="12" t="s">
        <v>160</v>
      </c>
      <c r="B15" s="4" t="s">
        <v>161</v>
      </c>
      <c r="C15" s="6" t="str">
        <f aca="false">HLOOKUP(MID(A15,3,4)*1,$G$14:$I$15,2)</f>
        <v>일반</v>
      </c>
      <c r="G15" s="13" t="s">
        <v>162</v>
      </c>
      <c r="H15" s="13" t="s">
        <v>163</v>
      </c>
      <c r="I15" s="5" t="s">
        <v>164</v>
      </c>
    </row>
    <row r="16" customFormat="false" ht="15" hidden="false" customHeight="false" outlineLevel="0" collapsed="false">
      <c r="A16" s="12" t="s">
        <v>165</v>
      </c>
      <c r="B16" s="4" t="s">
        <v>166</v>
      </c>
      <c r="C16" s="6" t="str">
        <f aca="false">HLOOKUP(MID(A16,3,4)*1,$G$14:$I$15,2)</f>
        <v>우수</v>
      </c>
    </row>
    <row r="17" customFormat="false" ht="15" hidden="false" customHeight="false" outlineLevel="0" collapsed="false">
      <c r="A17" s="12" t="s">
        <v>167</v>
      </c>
      <c r="B17" s="4" t="s">
        <v>168</v>
      </c>
      <c r="C17" s="6" t="str">
        <f aca="false">HLOOKUP(MID(A17,3,4)*1,$G$14:$I$15,2)</f>
        <v>VIP</v>
      </c>
    </row>
    <row r="18" customFormat="false" ht="15" hidden="false" customHeight="false" outlineLevel="0" collapsed="false">
      <c r="A18" s="12" t="s">
        <v>169</v>
      </c>
      <c r="B18" s="4" t="s">
        <v>170</v>
      </c>
      <c r="C18" s="6" t="str">
        <f aca="false">HLOOKUP(MID(A18,3,4)*1,$G$14:$I$15,2)</f>
        <v>일반</v>
      </c>
    </row>
    <row r="19" customFormat="false" ht="15" hidden="false" customHeight="false" outlineLevel="0" collapsed="false">
      <c r="A19" s="12" t="s">
        <v>171</v>
      </c>
      <c r="B19" s="4" t="s">
        <v>172</v>
      </c>
      <c r="C19" s="6" t="str">
        <f aca="false">HLOOKUP(MID(A19,3,4)*1,$G$14:$I$15,2)</f>
        <v>VIP</v>
      </c>
    </row>
    <row r="20" customFormat="false" ht="15" hidden="false" customHeight="false" outlineLevel="0" collapsed="false">
      <c r="A20" s="12" t="s">
        <v>173</v>
      </c>
      <c r="B20" s="4" t="s">
        <v>174</v>
      </c>
      <c r="C20" s="6" t="str">
        <f aca="false">HLOOKUP(MID(A20,3,4)*1,$G$14:$I$15,2)</f>
        <v>우수</v>
      </c>
    </row>
    <row r="21" customFormat="false" ht="15" hidden="false" customHeight="false" outlineLevel="0" collapsed="false">
      <c r="A21" s="12" t="s">
        <v>175</v>
      </c>
      <c r="B21" s="4" t="s">
        <v>176</v>
      </c>
      <c r="C21" s="6" t="str">
        <f aca="false">HLOOKUP(MID(A21,3,4)*1,$G$14:$I$15,2)</f>
        <v>VIP</v>
      </c>
    </row>
    <row r="22" customFormat="false" ht="15" hidden="false" customHeight="false" outlineLevel="0" collapsed="false">
      <c r="A22" s="12" t="s">
        <v>177</v>
      </c>
      <c r="B22" s="4" t="s">
        <v>178</v>
      </c>
      <c r="C22" s="6" t="str">
        <f aca="false">HLOOKUP(MID(A22,3,4)*1,$G$14:$I$15,2)</f>
        <v>일반</v>
      </c>
    </row>
    <row r="25" customFormat="false" ht="42" hidden="false" customHeight="true" outlineLevel="0" collapsed="false">
      <c r="A25" s="1" t="s">
        <v>179</v>
      </c>
      <c r="B25" s="1"/>
      <c r="C25" s="1"/>
      <c r="D25" s="1"/>
      <c r="E25" s="1"/>
      <c r="G25" s="11" t="s">
        <v>180</v>
      </c>
    </row>
    <row r="26" customFormat="false" ht="15" hidden="false" customHeight="false" outlineLevel="0" collapsed="false">
      <c r="A26" s="3" t="s">
        <v>158</v>
      </c>
      <c r="B26" s="3" t="s">
        <v>181</v>
      </c>
      <c r="C26" s="3" t="s">
        <v>182</v>
      </c>
      <c r="D26" s="3" t="s">
        <v>183</v>
      </c>
      <c r="G26" s="3" t="s">
        <v>182</v>
      </c>
      <c r="H26" s="3" t="s">
        <v>22</v>
      </c>
      <c r="I26" s="3" t="s">
        <v>184</v>
      </c>
      <c r="J26" s="3" t="s">
        <v>24</v>
      </c>
    </row>
    <row r="27" customFormat="false" ht="15" hidden="false" customHeight="false" outlineLevel="0" collapsed="false">
      <c r="A27" s="4" t="s">
        <v>185</v>
      </c>
      <c r="B27" s="4" t="s">
        <v>22</v>
      </c>
      <c r="C27" s="12" t="s">
        <v>186</v>
      </c>
      <c r="D27" s="10" t="n">
        <f aca="false">HLOOKUP(B27,$H$26:$J$29,MATCH(C27,$G$27:$G$29,0)+1,0)</f>
        <v>3000</v>
      </c>
      <c r="G27" s="5" t="s">
        <v>186</v>
      </c>
      <c r="H27" s="14" t="n">
        <v>3000</v>
      </c>
      <c r="I27" s="14" t="n">
        <v>3500</v>
      </c>
      <c r="J27" s="14" t="n">
        <v>4500</v>
      </c>
    </row>
    <row r="28" customFormat="false" ht="15" hidden="false" customHeight="false" outlineLevel="0" collapsed="false">
      <c r="A28" s="4" t="s">
        <v>187</v>
      </c>
      <c r="B28" s="4" t="s">
        <v>24</v>
      </c>
      <c r="C28" s="12" t="s">
        <v>188</v>
      </c>
      <c r="D28" s="10" t="n">
        <f aca="false">HLOOKUP(B28,$H$26:$J$29,MATCH(C28,$G$27:$G$29,0)+1,0)</f>
        <v>5500</v>
      </c>
      <c r="G28" s="5" t="s">
        <v>188</v>
      </c>
      <c r="H28" s="14" t="n">
        <v>4000</v>
      </c>
      <c r="I28" s="14" t="n">
        <v>4500</v>
      </c>
      <c r="J28" s="14" t="n">
        <v>5500</v>
      </c>
    </row>
    <row r="29" customFormat="false" ht="15" hidden="false" customHeight="false" outlineLevel="0" collapsed="false">
      <c r="A29" s="4" t="s">
        <v>189</v>
      </c>
      <c r="B29" s="4" t="s">
        <v>184</v>
      </c>
      <c r="C29" s="12" t="s">
        <v>190</v>
      </c>
      <c r="D29" s="10" t="n">
        <f aca="false">HLOOKUP(B29,$H$26:$J$29,MATCH(C29,$G$27:$G$29,0)+1,0)</f>
        <v>6500</v>
      </c>
      <c r="G29" s="5" t="s">
        <v>190</v>
      </c>
      <c r="H29" s="14" t="n">
        <v>6000</v>
      </c>
      <c r="I29" s="14" t="n">
        <v>6500</v>
      </c>
      <c r="J29" s="14" t="n">
        <v>8000</v>
      </c>
    </row>
    <row r="30" customFormat="false" ht="15" hidden="false" customHeight="false" outlineLevel="0" collapsed="false">
      <c r="A30" s="4" t="s">
        <v>191</v>
      </c>
      <c r="B30" s="4" t="s">
        <v>22</v>
      </c>
      <c r="C30" s="12" t="s">
        <v>188</v>
      </c>
      <c r="D30" s="10" t="n">
        <f aca="false">HLOOKUP(B30,$H$26:$J$29,MATCH(C30,$G$27:$G$29,0)+1,0)</f>
        <v>4000</v>
      </c>
    </row>
    <row r="31" customFormat="false" ht="15" hidden="false" customHeight="false" outlineLevel="0" collapsed="false">
      <c r="A31" s="4" t="s">
        <v>192</v>
      </c>
      <c r="B31" s="4" t="s">
        <v>24</v>
      </c>
      <c r="C31" s="12" t="s">
        <v>190</v>
      </c>
      <c r="D31" s="10" t="n">
        <f aca="false">HLOOKUP(B31,$H$26:$J$29,MATCH(C31,$G$27:$G$29,0)+1,0)</f>
        <v>8000</v>
      </c>
    </row>
    <row r="32" customFormat="false" ht="15" hidden="false" customHeight="false" outlineLevel="0" collapsed="false">
      <c r="A32" s="4" t="s">
        <v>193</v>
      </c>
      <c r="B32" s="4" t="s">
        <v>184</v>
      </c>
      <c r="C32" s="12" t="s">
        <v>186</v>
      </c>
      <c r="D32" s="10" t="n">
        <f aca="false">HLOOKUP(B32,$H$26:$J$29,MATCH(C32,$G$27:$G$29,0)+1,0)</f>
        <v>3500</v>
      </c>
    </row>
    <row r="33" customFormat="false" ht="15" hidden="false" customHeight="false" outlineLevel="0" collapsed="false">
      <c r="A33" s="4" t="s">
        <v>194</v>
      </c>
      <c r="B33" s="4" t="s">
        <v>22</v>
      </c>
      <c r="C33" s="12" t="s">
        <v>190</v>
      </c>
      <c r="D33" s="10" t="n">
        <f aca="false">HLOOKUP(B33,$H$26:$J$29,MATCH(C33,$G$27:$G$29,0)+1,0)</f>
        <v>6000</v>
      </c>
    </row>
    <row r="34" customFormat="false" ht="15" hidden="false" customHeight="false" outlineLevel="0" collapsed="false">
      <c r="A34" s="4" t="s">
        <v>195</v>
      </c>
      <c r="B34" s="4" t="s">
        <v>24</v>
      </c>
      <c r="C34" s="12" t="s">
        <v>186</v>
      </c>
      <c r="D34" s="10" t="n">
        <f aca="false">HLOOKUP(B34,$H$26:$J$29,MATCH(C34,$G$27:$G$29,0)+1,0)</f>
        <v>4500</v>
      </c>
    </row>
    <row r="37" customFormat="false" ht="42" hidden="false" customHeight="true" outlineLevel="0" collapsed="false">
      <c r="A37" s="1" t="s">
        <v>196</v>
      </c>
      <c r="B37" s="1"/>
      <c r="C37" s="1"/>
      <c r="D37" s="1"/>
      <c r="E37" s="1"/>
    </row>
    <row r="38" customFormat="false" ht="15" hidden="false" customHeight="false" outlineLevel="0" collapsed="false">
      <c r="A38" s="3" t="s">
        <v>2</v>
      </c>
      <c r="B38" s="3" t="s">
        <v>197</v>
      </c>
      <c r="C38" s="3" t="s">
        <v>3</v>
      </c>
    </row>
    <row r="39" customFormat="false" ht="15" hidden="false" customHeight="false" outlineLevel="0" collapsed="false">
      <c r="A39" s="4" t="s">
        <v>198</v>
      </c>
      <c r="B39" s="12" t="s">
        <v>199</v>
      </c>
      <c r="C39" s="6" t="str">
        <f aca="false">CHOOSE(MID(B39,8,1)*1,"남","여","남","여")</f>
        <v>남</v>
      </c>
    </row>
    <row r="40" customFormat="false" ht="15" hidden="false" customHeight="false" outlineLevel="0" collapsed="false">
      <c r="A40" s="4" t="s">
        <v>200</v>
      </c>
      <c r="B40" s="12" t="s">
        <v>201</v>
      </c>
      <c r="C40" s="6" t="str">
        <f aca="false">CHOOSE(MID(B40,8,1)*1,"남","여","남","여")</f>
        <v>여</v>
      </c>
    </row>
    <row r="41" customFormat="false" ht="15" hidden="false" customHeight="false" outlineLevel="0" collapsed="false">
      <c r="A41" s="4" t="s">
        <v>202</v>
      </c>
      <c r="B41" s="12" t="s">
        <v>203</v>
      </c>
      <c r="C41" s="6" t="str">
        <f aca="false">CHOOSE(MID(B41,8,1)*1,"남","여","남","여")</f>
        <v>남</v>
      </c>
    </row>
    <row r="42" customFormat="false" ht="15" hidden="false" customHeight="false" outlineLevel="0" collapsed="false">
      <c r="A42" s="4" t="s">
        <v>204</v>
      </c>
      <c r="B42" s="12" t="s">
        <v>205</v>
      </c>
      <c r="C42" s="6" t="str">
        <f aca="false">CHOOSE(MID(B42,8,1)*1,"남","여","남","여")</f>
        <v>여</v>
      </c>
    </row>
    <row r="43" customFormat="false" ht="15" hidden="false" customHeight="false" outlineLevel="0" collapsed="false">
      <c r="A43" s="4" t="s">
        <v>206</v>
      </c>
      <c r="B43" s="12" t="s">
        <v>207</v>
      </c>
      <c r="C43" s="6" t="str">
        <f aca="false">CHOOSE(MID(B43,8,1)*1,"남","여","남","여")</f>
        <v>남</v>
      </c>
    </row>
    <row r="44" customFormat="false" ht="15" hidden="false" customHeight="false" outlineLevel="0" collapsed="false">
      <c r="A44" s="4" t="s">
        <v>208</v>
      </c>
      <c r="B44" s="12" t="s">
        <v>209</v>
      </c>
      <c r="C44" s="6" t="str">
        <f aca="false">CHOOSE(MID(B44,8,1)*1,"남","여","남","여")</f>
        <v>여</v>
      </c>
    </row>
    <row r="45" customFormat="false" ht="15" hidden="false" customHeight="false" outlineLevel="0" collapsed="false">
      <c r="A45" s="4" t="s">
        <v>210</v>
      </c>
      <c r="B45" s="12" t="s">
        <v>211</v>
      </c>
      <c r="C45" s="6" t="str">
        <f aca="false">CHOOSE(MID(B45,8,1)*1,"남","여","남","여")</f>
        <v>남</v>
      </c>
    </row>
    <row r="46" customFormat="false" ht="15" hidden="false" customHeight="false" outlineLevel="0" collapsed="false">
      <c r="A46" s="4" t="s">
        <v>212</v>
      </c>
      <c r="B46" s="12" t="s">
        <v>213</v>
      </c>
      <c r="C46" s="6" t="str">
        <f aca="false">CHOOSE(MID(B46,8,1)*1,"남","여","남","여")</f>
        <v>여</v>
      </c>
    </row>
  </sheetData>
  <mergeCells count="4">
    <mergeCell ref="A1:E1"/>
    <mergeCell ref="A13:E13"/>
    <mergeCell ref="A25:E2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C30"/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4.5"/>
    <col collapsed="false" customWidth="true" hidden="false" outlineLevel="0" max="4" min="4" style="0" width="13.5"/>
    <col collapsed="false" customWidth="true" hidden="false" outlineLevel="0" max="6" min="6" style="0" width="11.5"/>
    <col collapsed="false" customWidth="true" hidden="false" outlineLevel="0" max="8" min="8" style="0" width="15.5"/>
  </cols>
  <sheetData>
    <row r="1" customFormat="false" ht="42" hidden="false" customHeight="true" outlineLevel="0" collapsed="false">
      <c r="A1" s="1" t="s">
        <v>214</v>
      </c>
      <c r="B1" s="1"/>
      <c r="C1" s="1"/>
      <c r="D1" s="1"/>
      <c r="E1" s="1"/>
      <c r="F1" s="11" t="s">
        <v>215</v>
      </c>
      <c r="J1" s="2" t="s">
        <v>1</v>
      </c>
    </row>
    <row r="2" customFormat="false" ht="15" hidden="false" customHeight="false" outlineLevel="0" collapsed="false">
      <c r="A2" s="3" t="s">
        <v>216</v>
      </c>
      <c r="B2" s="3" t="s">
        <v>217</v>
      </c>
      <c r="C2" s="3" t="s">
        <v>218</v>
      </c>
      <c r="F2" s="15" t="s">
        <v>217</v>
      </c>
      <c r="H2" s="3" t="s">
        <v>219</v>
      </c>
    </row>
    <row r="3" customFormat="false" ht="15" hidden="false" customHeight="false" outlineLevel="0" collapsed="false">
      <c r="A3" s="4" t="s">
        <v>42</v>
      </c>
      <c r="B3" s="4" t="s">
        <v>136</v>
      </c>
      <c r="C3" s="14" t="n">
        <v>12845000</v>
      </c>
      <c r="F3" s="16" t="s">
        <v>136</v>
      </c>
      <c r="H3" s="10" t="n">
        <f aca="false">ROUNDDOWN(DMAX($A$2:$C$10,$C$2,$F$2:$F$3)-DMIN($A$2:$C$10,$C$2,$F$2:$F$3),-4)</f>
        <v>7560000</v>
      </c>
    </row>
    <row r="4" customFormat="false" ht="15" hidden="false" customHeight="false" outlineLevel="0" collapsed="false">
      <c r="A4" s="4" t="s">
        <v>42</v>
      </c>
      <c r="B4" s="4" t="s">
        <v>220</v>
      </c>
      <c r="C4" s="14" t="n">
        <v>5236000</v>
      </c>
    </row>
    <row r="5" customFormat="false" ht="15" hidden="false" customHeight="false" outlineLevel="0" collapsed="false">
      <c r="A5" s="4" t="s">
        <v>44</v>
      </c>
      <c r="B5" s="4" t="s">
        <v>136</v>
      </c>
      <c r="C5" s="14" t="n">
        <v>9372000</v>
      </c>
    </row>
    <row r="6" customFormat="false" ht="15" hidden="false" customHeight="false" outlineLevel="0" collapsed="false">
      <c r="A6" s="4" t="s">
        <v>44</v>
      </c>
      <c r="B6" s="4" t="s">
        <v>221</v>
      </c>
      <c r="C6" s="14" t="n">
        <v>3418000</v>
      </c>
    </row>
    <row r="7" customFormat="false" ht="15" hidden="false" customHeight="false" outlineLevel="0" collapsed="false">
      <c r="A7" s="4" t="s">
        <v>222</v>
      </c>
      <c r="B7" s="4" t="s">
        <v>136</v>
      </c>
      <c r="C7" s="14" t="n">
        <v>15218000</v>
      </c>
    </row>
    <row r="8" customFormat="false" ht="15" hidden="false" customHeight="false" outlineLevel="0" collapsed="false">
      <c r="A8" s="4" t="s">
        <v>222</v>
      </c>
      <c r="B8" s="4" t="s">
        <v>220</v>
      </c>
      <c r="C8" s="14" t="n">
        <v>6127000</v>
      </c>
    </row>
    <row r="9" customFormat="false" ht="15" hidden="false" customHeight="false" outlineLevel="0" collapsed="false">
      <c r="A9" s="4" t="s">
        <v>223</v>
      </c>
      <c r="B9" s="4" t="s">
        <v>136</v>
      </c>
      <c r="C9" s="14" t="n">
        <v>7654000</v>
      </c>
    </row>
    <row r="10" customFormat="false" ht="15" hidden="false" customHeight="false" outlineLevel="0" collapsed="false">
      <c r="A10" s="4" t="s">
        <v>223</v>
      </c>
      <c r="B10" s="4" t="s">
        <v>221</v>
      </c>
      <c r="C10" s="14" t="n">
        <v>2895000</v>
      </c>
    </row>
    <row r="13" customFormat="false" ht="42" hidden="false" customHeight="true" outlineLevel="0" collapsed="false">
      <c r="A13" s="1" t="s">
        <v>224</v>
      </c>
      <c r="B13" s="1"/>
      <c r="C13" s="1"/>
      <c r="D13" s="1"/>
      <c r="E13" s="1"/>
      <c r="F13" s="11" t="s">
        <v>215</v>
      </c>
    </row>
    <row r="14" customFormat="false" ht="15" hidden="false" customHeight="false" outlineLevel="0" collapsed="false">
      <c r="A14" s="3" t="s">
        <v>225</v>
      </c>
      <c r="B14" s="3" t="s">
        <v>226</v>
      </c>
      <c r="C14" s="3" t="s">
        <v>227</v>
      </c>
      <c r="F14" s="15" t="s">
        <v>225</v>
      </c>
      <c r="H14" s="3" t="s">
        <v>219</v>
      </c>
    </row>
    <row r="15" customFormat="false" ht="15" hidden="false" customHeight="false" outlineLevel="0" collapsed="false">
      <c r="A15" s="12" t="s">
        <v>228</v>
      </c>
      <c r="B15" s="4" t="s">
        <v>229</v>
      </c>
      <c r="C15" s="13" t="n">
        <v>88</v>
      </c>
      <c r="F15" s="17" t="s">
        <v>228</v>
      </c>
      <c r="H15" s="18" t="n">
        <f aca="false">ROUND(DAVERAGE($A$14:$C$22,$C$14,$F$14:$F$15),1)</f>
        <v>85.8</v>
      </c>
    </row>
    <row r="16" customFormat="false" ht="15" hidden="false" customHeight="false" outlineLevel="0" collapsed="false">
      <c r="A16" s="12" t="s">
        <v>230</v>
      </c>
      <c r="B16" s="4" t="s">
        <v>231</v>
      </c>
      <c r="C16" s="13" t="n">
        <v>92</v>
      </c>
    </row>
    <row r="17" customFormat="false" ht="15" hidden="false" customHeight="false" outlineLevel="0" collapsed="false">
      <c r="A17" s="12" t="s">
        <v>228</v>
      </c>
      <c r="B17" s="4" t="s">
        <v>232</v>
      </c>
      <c r="C17" s="13" t="n">
        <v>79</v>
      </c>
    </row>
    <row r="18" customFormat="false" ht="15" hidden="false" customHeight="false" outlineLevel="0" collapsed="false">
      <c r="A18" s="12" t="s">
        <v>233</v>
      </c>
      <c r="B18" s="4" t="s">
        <v>234</v>
      </c>
      <c r="C18" s="13" t="n">
        <v>85</v>
      </c>
    </row>
    <row r="19" customFormat="false" ht="15" hidden="false" customHeight="false" outlineLevel="0" collapsed="false">
      <c r="A19" s="12" t="s">
        <v>228</v>
      </c>
      <c r="B19" s="4" t="s">
        <v>235</v>
      </c>
      <c r="C19" s="13" t="n">
        <v>91</v>
      </c>
    </row>
    <row r="20" customFormat="false" ht="15" hidden="false" customHeight="false" outlineLevel="0" collapsed="false">
      <c r="A20" s="12" t="s">
        <v>230</v>
      </c>
      <c r="B20" s="4" t="s">
        <v>236</v>
      </c>
      <c r="C20" s="13" t="n">
        <v>74</v>
      </c>
    </row>
    <row r="21" customFormat="false" ht="15" hidden="false" customHeight="false" outlineLevel="0" collapsed="false">
      <c r="A21" s="12" t="s">
        <v>233</v>
      </c>
      <c r="B21" s="4" t="s">
        <v>237</v>
      </c>
      <c r="C21" s="13" t="n">
        <v>96</v>
      </c>
    </row>
    <row r="22" customFormat="false" ht="15" hidden="false" customHeight="false" outlineLevel="0" collapsed="false">
      <c r="A22" s="12" t="s">
        <v>228</v>
      </c>
      <c r="B22" s="4" t="s">
        <v>238</v>
      </c>
      <c r="C22" s="13" t="n">
        <v>85</v>
      </c>
    </row>
    <row r="25" customFormat="false" ht="42" hidden="false" customHeight="true" outlineLevel="0" collapsed="false">
      <c r="A25" s="1" t="s">
        <v>239</v>
      </c>
      <c r="B25" s="1"/>
      <c r="C25" s="1"/>
      <c r="D25" s="1"/>
      <c r="E25" s="1"/>
      <c r="F25" s="11" t="s">
        <v>215</v>
      </c>
    </row>
    <row r="26" customFormat="false" ht="15" hidden="false" customHeight="false" outlineLevel="0" collapsed="false">
      <c r="A26" s="3" t="s">
        <v>240</v>
      </c>
      <c r="B26" s="3" t="s">
        <v>241</v>
      </c>
      <c r="C26" s="3" t="s">
        <v>40</v>
      </c>
      <c r="D26" s="3" t="s">
        <v>242</v>
      </c>
      <c r="F26" s="15" t="s">
        <v>240</v>
      </c>
      <c r="H26" s="3" t="s">
        <v>219</v>
      </c>
    </row>
    <row r="27" customFormat="false" ht="15" hidden="false" customHeight="false" outlineLevel="0" collapsed="false">
      <c r="A27" s="4" t="s">
        <v>243</v>
      </c>
      <c r="B27" s="4" t="s">
        <v>244</v>
      </c>
      <c r="C27" s="13" t="n">
        <v>120</v>
      </c>
      <c r="D27" s="14" t="n">
        <v>3456000</v>
      </c>
      <c r="F27" s="16" t="s">
        <v>243</v>
      </c>
      <c r="H27" s="10" t="n">
        <f aca="false">ROUNDUP(DSUM($A$26:$D$34,$D$26,$F$26:$F$27),-4)</f>
        <v>12690000</v>
      </c>
    </row>
    <row r="28" customFormat="false" ht="15" hidden="false" customHeight="false" outlineLevel="0" collapsed="false">
      <c r="A28" s="4" t="s">
        <v>245</v>
      </c>
      <c r="B28" s="4" t="s">
        <v>246</v>
      </c>
      <c r="C28" s="13" t="n">
        <v>95</v>
      </c>
      <c r="D28" s="14" t="n">
        <v>2851000</v>
      </c>
    </row>
    <row r="29" customFormat="false" ht="15" hidden="false" customHeight="false" outlineLevel="0" collapsed="false">
      <c r="A29" s="4" t="s">
        <v>243</v>
      </c>
      <c r="B29" s="4" t="s">
        <v>247</v>
      </c>
      <c r="C29" s="13" t="n">
        <v>80</v>
      </c>
      <c r="D29" s="14" t="n">
        <v>2237500</v>
      </c>
    </row>
    <row r="30" customFormat="false" ht="15" hidden="false" customHeight="false" outlineLevel="0" collapsed="false">
      <c r="A30" s="4" t="s">
        <v>248</v>
      </c>
      <c r="B30" s="4" t="s">
        <v>249</v>
      </c>
      <c r="C30" s="13" t="n">
        <v>110</v>
      </c>
      <c r="D30" s="14" t="n">
        <v>4125000</v>
      </c>
    </row>
    <row r="31" customFormat="false" ht="15" hidden="false" customHeight="false" outlineLevel="0" collapsed="false">
      <c r="A31" s="4" t="s">
        <v>243</v>
      </c>
      <c r="B31" s="4" t="s">
        <v>250</v>
      </c>
      <c r="C31" s="13" t="n">
        <v>150</v>
      </c>
      <c r="D31" s="14" t="n">
        <v>4383000</v>
      </c>
    </row>
    <row r="32" customFormat="false" ht="15" hidden="false" customHeight="false" outlineLevel="0" collapsed="false">
      <c r="A32" s="4" t="s">
        <v>245</v>
      </c>
      <c r="B32" s="4" t="s">
        <v>34</v>
      </c>
      <c r="C32" s="13" t="n">
        <v>70</v>
      </c>
      <c r="D32" s="14" t="n">
        <v>2118000</v>
      </c>
    </row>
    <row r="33" customFormat="false" ht="15" hidden="false" customHeight="false" outlineLevel="0" collapsed="false">
      <c r="A33" s="4" t="s">
        <v>248</v>
      </c>
      <c r="B33" s="4" t="s">
        <v>251</v>
      </c>
      <c r="C33" s="13" t="n">
        <v>60</v>
      </c>
      <c r="D33" s="14" t="n">
        <v>2246000</v>
      </c>
    </row>
    <row r="34" customFormat="false" ht="15" hidden="false" customHeight="false" outlineLevel="0" collapsed="false">
      <c r="A34" s="4" t="s">
        <v>243</v>
      </c>
      <c r="B34" s="4" t="s">
        <v>252</v>
      </c>
      <c r="C34" s="13" t="n">
        <v>90</v>
      </c>
      <c r="D34" s="14" t="n">
        <v>2612500</v>
      </c>
    </row>
    <row r="37" customFormat="false" ht="42" hidden="false" customHeight="true" outlineLevel="0" collapsed="false">
      <c r="A37" s="1" t="s">
        <v>253</v>
      </c>
      <c r="B37" s="1"/>
      <c r="C37" s="1"/>
      <c r="D37" s="1"/>
      <c r="E37" s="1"/>
      <c r="F37" s="11" t="s">
        <v>215</v>
      </c>
    </row>
    <row r="38" customFormat="false" ht="15" hidden="false" customHeight="false" outlineLevel="0" collapsed="false">
      <c r="A38" s="3" t="s">
        <v>226</v>
      </c>
      <c r="B38" s="3" t="s">
        <v>181</v>
      </c>
      <c r="C38" s="3" t="s">
        <v>254</v>
      </c>
      <c r="F38" s="15" t="s">
        <v>254</v>
      </c>
      <c r="H38" s="3" t="s">
        <v>219</v>
      </c>
    </row>
    <row r="39" customFormat="false" ht="15" hidden="false" customHeight="false" outlineLevel="0" collapsed="false">
      <c r="A39" s="4" t="s">
        <v>255</v>
      </c>
      <c r="B39" s="4" t="s">
        <v>256</v>
      </c>
      <c r="C39" s="13" t="n">
        <v>25</v>
      </c>
      <c r="F39" s="17" t="s">
        <v>257</v>
      </c>
      <c r="H39" s="6" t="str">
        <f aca="false">DCOUNT($A$38:$C$46,$C$38,$F$38:$F$39)&amp;"명"</f>
        <v>4명</v>
      </c>
    </row>
    <row r="40" customFormat="false" ht="15" hidden="false" customHeight="false" outlineLevel="0" collapsed="false">
      <c r="A40" s="4" t="s">
        <v>258</v>
      </c>
      <c r="B40" s="4" t="s">
        <v>259</v>
      </c>
      <c r="C40" s="13" t="n">
        <v>18</v>
      </c>
    </row>
    <row r="41" customFormat="false" ht="15" hidden="false" customHeight="false" outlineLevel="0" collapsed="false">
      <c r="A41" s="4" t="s">
        <v>260</v>
      </c>
      <c r="B41" s="4" t="s">
        <v>261</v>
      </c>
      <c r="C41" s="13" t="n">
        <v>32</v>
      </c>
    </row>
    <row r="42" customFormat="false" ht="15" hidden="false" customHeight="false" outlineLevel="0" collapsed="false">
      <c r="A42" s="4" t="s">
        <v>262</v>
      </c>
      <c r="B42" s="4" t="s">
        <v>263</v>
      </c>
      <c r="C42" s="13" t="n">
        <v>12</v>
      </c>
    </row>
    <row r="43" customFormat="false" ht="15" hidden="false" customHeight="false" outlineLevel="0" collapsed="false">
      <c r="A43" s="4" t="s">
        <v>264</v>
      </c>
      <c r="B43" s="4" t="s">
        <v>265</v>
      </c>
      <c r="C43" s="13" t="n">
        <v>20</v>
      </c>
    </row>
    <row r="44" customFormat="false" ht="15" hidden="false" customHeight="false" outlineLevel="0" collapsed="false">
      <c r="A44" s="4" t="s">
        <v>266</v>
      </c>
      <c r="B44" s="4" t="s">
        <v>267</v>
      </c>
      <c r="C44" s="13" t="n">
        <v>8</v>
      </c>
    </row>
    <row r="45" customFormat="false" ht="15" hidden="false" customHeight="false" outlineLevel="0" collapsed="false">
      <c r="A45" s="4" t="s">
        <v>268</v>
      </c>
      <c r="B45" s="4" t="s">
        <v>269</v>
      </c>
      <c r="C45" s="13" t="n">
        <v>27</v>
      </c>
    </row>
    <row r="46" customFormat="false" ht="15" hidden="false" customHeight="false" outlineLevel="0" collapsed="false">
      <c r="A46" s="4" t="s">
        <v>270</v>
      </c>
      <c r="B46" s="4" t="s">
        <v>271</v>
      </c>
      <c r="C46" s="13" t="n">
        <v>15</v>
      </c>
    </row>
  </sheetData>
  <mergeCells count="4">
    <mergeCell ref="A1:E1"/>
    <mergeCell ref="A13:E13"/>
    <mergeCell ref="A25:E2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C30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1.5"/>
    <col collapsed="false" customWidth="true" hidden="false" outlineLevel="0" max="3" min="3" style="0" width="14.5"/>
    <col collapsed="false" customWidth="true" hidden="false" outlineLevel="0" max="5" min="5" style="0" width="15.5"/>
  </cols>
  <sheetData>
    <row r="1" customFormat="false" ht="42" hidden="false" customHeight="true" outlineLevel="0" collapsed="false">
      <c r="A1" s="1" t="s">
        <v>272</v>
      </c>
      <c r="B1" s="1"/>
      <c r="C1" s="1"/>
      <c r="D1" s="1"/>
      <c r="E1" s="1"/>
      <c r="G1" s="2" t="s">
        <v>1</v>
      </c>
    </row>
    <row r="2" customFormat="false" ht="15" hidden="false" customHeight="false" outlineLevel="0" collapsed="false">
      <c r="A2" s="3" t="s">
        <v>97</v>
      </c>
      <c r="B2" s="3" t="s">
        <v>40</v>
      </c>
      <c r="C2" s="3" t="s">
        <v>273</v>
      </c>
      <c r="E2" s="3" t="s">
        <v>219</v>
      </c>
    </row>
    <row r="3" customFormat="false" ht="15" hidden="false" customHeight="false" outlineLevel="0" collapsed="false">
      <c r="A3" s="4" t="s">
        <v>274</v>
      </c>
      <c r="B3" s="13" t="n">
        <v>45</v>
      </c>
      <c r="C3" s="14" t="n">
        <v>2850000</v>
      </c>
      <c r="E3" s="6" t="str">
        <f aca="false">COUNTIFS(C3:C10,"&gt;=3000000",B3:B10,"&gt;="&amp;AVERAGE(B3:B10))&amp;"명"</f>
        <v>3명</v>
      </c>
    </row>
    <row r="4" customFormat="false" ht="15" hidden="false" customHeight="false" outlineLevel="0" collapsed="false">
      <c r="A4" s="4" t="s">
        <v>275</v>
      </c>
      <c r="B4" s="13" t="n">
        <v>62</v>
      </c>
      <c r="C4" s="14" t="n">
        <v>4120000</v>
      </c>
    </row>
    <row r="5" customFormat="false" ht="15" hidden="false" customHeight="false" outlineLevel="0" collapsed="false">
      <c r="A5" s="4" t="s">
        <v>276</v>
      </c>
      <c r="B5" s="13" t="n">
        <v>38</v>
      </c>
      <c r="C5" s="14" t="n">
        <v>2340000</v>
      </c>
    </row>
    <row r="6" customFormat="false" ht="15" hidden="false" customHeight="false" outlineLevel="0" collapsed="false">
      <c r="A6" s="4" t="s">
        <v>277</v>
      </c>
      <c r="B6" s="13" t="n">
        <v>71</v>
      </c>
      <c r="C6" s="14" t="n">
        <v>4580000</v>
      </c>
    </row>
    <row r="7" customFormat="false" ht="15" hidden="false" customHeight="false" outlineLevel="0" collapsed="false">
      <c r="A7" s="4" t="s">
        <v>278</v>
      </c>
      <c r="B7" s="13" t="n">
        <v>55</v>
      </c>
      <c r="C7" s="14" t="n">
        <v>3610000</v>
      </c>
    </row>
    <row r="8" customFormat="false" ht="15" hidden="false" customHeight="false" outlineLevel="0" collapsed="false">
      <c r="A8" s="4" t="s">
        <v>279</v>
      </c>
      <c r="B8" s="13" t="n">
        <v>49</v>
      </c>
      <c r="C8" s="14" t="n">
        <v>3050000</v>
      </c>
    </row>
    <row r="9" customFormat="false" ht="15" hidden="false" customHeight="false" outlineLevel="0" collapsed="false">
      <c r="A9" s="4" t="s">
        <v>280</v>
      </c>
      <c r="B9" s="13" t="n">
        <v>66</v>
      </c>
      <c r="C9" s="14" t="n">
        <v>4020000</v>
      </c>
    </row>
    <row r="10" customFormat="false" ht="15" hidden="false" customHeight="false" outlineLevel="0" collapsed="false">
      <c r="A10" s="4" t="s">
        <v>281</v>
      </c>
      <c r="B10" s="13" t="n">
        <v>58</v>
      </c>
      <c r="C10" s="14" t="n">
        <v>2980000</v>
      </c>
    </row>
    <row r="13" customFormat="false" ht="42" hidden="false" customHeight="true" outlineLevel="0" collapsed="false">
      <c r="A13" s="1" t="s">
        <v>282</v>
      </c>
      <c r="B13" s="1"/>
      <c r="C13" s="1"/>
      <c r="D13" s="1"/>
      <c r="E13" s="1"/>
    </row>
    <row r="14" customFormat="false" ht="15" hidden="false" customHeight="false" outlineLevel="0" collapsed="false">
      <c r="A14" s="3" t="s">
        <v>17</v>
      </c>
      <c r="B14" s="3" t="s">
        <v>283</v>
      </c>
      <c r="C14" s="3" t="s">
        <v>284</v>
      </c>
      <c r="E14" s="3" t="s">
        <v>219</v>
      </c>
    </row>
    <row r="15" customFormat="false" ht="15" hidden="false" customHeight="false" outlineLevel="0" collapsed="false">
      <c r="A15" s="4" t="s">
        <v>285</v>
      </c>
      <c r="B15" s="12" t="s">
        <v>286</v>
      </c>
      <c r="C15" s="14" t="n">
        <v>28000</v>
      </c>
      <c r="E15" s="10" t="n">
        <f aca="false">SUMIF(B15:B22,"*루수",C15:C22)</f>
        <v>96000</v>
      </c>
    </row>
    <row r="16" customFormat="false" ht="15" hidden="false" customHeight="false" outlineLevel="0" collapsed="false">
      <c r="A16" s="4" t="s">
        <v>287</v>
      </c>
      <c r="B16" s="4" t="s">
        <v>288</v>
      </c>
      <c r="C16" s="14" t="n">
        <v>45000</v>
      </c>
    </row>
    <row r="17" customFormat="false" ht="15" hidden="false" customHeight="false" outlineLevel="0" collapsed="false">
      <c r="A17" s="4" t="s">
        <v>289</v>
      </c>
      <c r="B17" s="12" t="s">
        <v>290</v>
      </c>
      <c r="C17" s="14" t="n">
        <v>19500</v>
      </c>
    </row>
    <row r="18" customFormat="false" ht="15" hidden="false" customHeight="false" outlineLevel="0" collapsed="false">
      <c r="A18" s="4" t="s">
        <v>291</v>
      </c>
      <c r="B18" s="4" t="s">
        <v>292</v>
      </c>
      <c r="C18" s="14" t="n">
        <v>22000</v>
      </c>
    </row>
    <row r="19" customFormat="false" ht="15" hidden="false" customHeight="false" outlineLevel="0" collapsed="false">
      <c r="A19" s="4" t="s">
        <v>293</v>
      </c>
      <c r="B19" s="12" t="s">
        <v>294</v>
      </c>
      <c r="C19" s="14" t="n">
        <v>31000</v>
      </c>
    </row>
    <row r="20" customFormat="false" ht="15" hidden="false" customHeight="false" outlineLevel="0" collapsed="false">
      <c r="A20" s="4" t="s">
        <v>295</v>
      </c>
      <c r="B20" s="4" t="s">
        <v>296</v>
      </c>
      <c r="C20" s="14" t="n">
        <v>26000</v>
      </c>
    </row>
    <row r="21" customFormat="false" ht="15" hidden="false" customHeight="false" outlineLevel="0" collapsed="false">
      <c r="A21" s="4" t="s">
        <v>297</v>
      </c>
      <c r="B21" s="12" t="s">
        <v>286</v>
      </c>
      <c r="C21" s="14" t="n">
        <v>17500</v>
      </c>
    </row>
    <row r="22" customFormat="false" ht="15" hidden="false" customHeight="false" outlineLevel="0" collapsed="false">
      <c r="A22" s="4" t="s">
        <v>298</v>
      </c>
      <c r="B22" s="4" t="s">
        <v>288</v>
      </c>
      <c r="C22" s="14" t="n">
        <v>52000</v>
      </c>
    </row>
    <row r="25" customFormat="false" ht="42" hidden="false" customHeight="true" outlineLevel="0" collapsed="false">
      <c r="A25" s="1" t="s">
        <v>299</v>
      </c>
      <c r="B25" s="1"/>
      <c r="C25" s="1"/>
      <c r="D25" s="1"/>
      <c r="E25" s="1"/>
    </row>
    <row r="26" customFormat="false" ht="15" hidden="false" customHeight="false" outlineLevel="0" collapsed="false">
      <c r="A26" s="3" t="s">
        <v>216</v>
      </c>
      <c r="B26" s="3" t="s">
        <v>181</v>
      </c>
      <c r="C26" s="3" t="s">
        <v>242</v>
      </c>
      <c r="E26" s="3" t="s">
        <v>219</v>
      </c>
    </row>
    <row r="27" customFormat="false" ht="15" hidden="false" customHeight="false" outlineLevel="0" collapsed="false">
      <c r="A27" s="4" t="s">
        <v>300</v>
      </c>
      <c r="B27" s="4" t="s">
        <v>301</v>
      </c>
      <c r="C27" s="14" t="n">
        <v>8520</v>
      </c>
      <c r="E27" s="18" t="n">
        <f aca="false">ROUND(AVERAGEIF(B27:B34,"강남",C27:C34)-MEDIAN(C27:C34),1)</f>
        <v>1162.5</v>
      </c>
    </row>
    <row r="28" customFormat="false" ht="15" hidden="false" customHeight="false" outlineLevel="0" collapsed="false">
      <c r="A28" s="4" t="s">
        <v>302</v>
      </c>
      <c r="B28" s="4" t="s">
        <v>303</v>
      </c>
      <c r="C28" s="14" t="n">
        <v>6140</v>
      </c>
    </row>
    <row r="29" customFormat="false" ht="15" hidden="false" customHeight="false" outlineLevel="0" collapsed="false">
      <c r="A29" s="4" t="s">
        <v>304</v>
      </c>
      <c r="B29" s="4" t="s">
        <v>301</v>
      </c>
      <c r="C29" s="14" t="n">
        <v>9350</v>
      </c>
    </row>
    <row r="30" customFormat="false" ht="15" hidden="false" customHeight="false" outlineLevel="0" collapsed="false">
      <c r="A30" s="4" t="s">
        <v>305</v>
      </c>
      <c r="B30" s="4" t="s">
        <v>263</v>
      </c>
      <c r="C30" s="14" t="n">
        <v>5580</v>
      </c>
    </row>
    <row r="31" customFormat="false" ht="15" hidden="false" customHeight="false" outlineLevel="0" collapsed="false">
      <c r="A31" s="4" t="s">
        <v>306</v>
      </c>
      <c r="B31" s="4" t="s">
        <v>301</v>
      </c>
      <c r="C31" s="14" t="n">
        <v>7890</v>
      </c>
    </row>
    <row r="32" customFormat="false" ht="15" hidden="false" customHeight="false" outlineLevel="0" collapsed="false">
      <c r="A32" s="4" t="s">
        <v>307</v>
      </c>
      <c r="B32" s="4" t="s">
        <v>303</v>
      </c>
      <c r="C32" s="14" t="n">
        <v>6720</v>
      </c>
    </row>
    <row r="33" customFormat="false" ht="15" hidden="false" customHeight="false" outlineLevel="0" collapsed="false">
      <c r="A33" s="4" t="s">
        <v>308</v>
      </c>
      <c r="B33" s="4" t="s">
        <v>263</v>
      </c>
      <c r="C33" s="14" t="n">
        <v>5940</v>
      </c>
    </row>
    <row r="34" customFormat="false" ht="15" hidden="false" customHeight="false" outlineLevel="0" collapsed="false">
      <c r="A34" s="4" t="s">
        <v>309</v>
      </c>
      <c r="B34" s="4" t="s">
        <v>301</v>
      </c>
      <c r="C34" s="14" t="n">
        <v>8110</v>
      </c>
    </row>
    <row r="37" customFormat="false" ht="42" hidden="false" customHeight="true" outlineLevel="0" collapsed="false">
      <c r="A37" s="1" t="s">
        <v>310</v>
      </c>
      <c r="B37" s="1"/>
      <c r="C37" s="1"/>
      <c r="D37" s="1"/>
      <c r="E37" s="1"/>
    </row>
    <row r="38" customFormat="false" ht="15" hidden="false" customHeight="false" outlineLevel="0" collapsed="false">
      <c r="A38" s="3" t="s">
        <v>311</v>
      </c>
      <c r="B38" s="3" t="s">
        <v>312</v>
      </c>
      <c r="C38" s="3" t="s">
        <v>5</v>
      </c>
      <c r="E38" s="3" t="s">
        <v>219</v>
      </c>
    </row>
    <row r="39" customFormat="false" ht="15" hidden="false" customHeight="false" outlineLevel="0" collapsed="false">
      <c r="A39" s="4" t="s">
        <v>313</v>
      </c>
      <c r="B39" s="4" t="s">
        <v>314</v>
      </c>
      <c r="C39" s="4" t="s">
        <v>315</v>
      </c>
      <c r="E39" s="6" t="str">
        <f aca="false">COUNTIF(C39:C46,"합격")/COUNTA(C39:C46)*100&amp;"%"</f>
        <v>75%</v>
      </c>
    </row>
    <row r="40" customFormat="false" ht="15" hidden="false" customHeight="false" outlineLevel="0" collapsed="false">
      <c r="A40" s="4" t="s">
        <v>316</v>
      </c>
      <c r="B40" s="4" t="s">
        <v>317</v>
      </c>
      <c r="C40" s="4" t="s">
        <v>318</v>
      </c>
    </row>
    <row r="41" customFormat="false" ht="15" hidden="false" customHeight="false" outlineLevel="0" collapsed="false">
      <c r="A41" s="4" t="s">
        <v>319</v>
      </c>
      <c r="B41" s="4" t="s">
        <v>314</v>
      </c>
      <c r="C41" s="4" t="s">
        <v>315</v>
      </c>
    </row>
    <row r="42" customFormat="false" ht="15" hidden="false" customHeight="false" outlineLevel="0" collapsed="false">
      <c r="A42" s="4" t="s">
        <v>320</v>
      </c>
      <c r="B42" s="4" t="s">
        <v>321</v>
      </c>
      <c r="C42" s="4" t="s">
        <v>315</v>
      </c>
    </row>
    <row r="43" customFormat="false" ht="15" hidden="false" customHeight="false" outlineLevel="0" collapsed="false">
      <c r="A43" s="4" t="s">
        <v>322</v>
      </c>
      <c r="B43" s="4" t="s">
        <v>317</v>
      </c>
      <c r="C43" s="4" t="s">
        <v>318</v>
      </c>
    </row>
    <row r="44" customFormat="false" ht="15" hidden="false" customHeight="false" outlineLevel="0" collapsed="false">
      <c r="A44" s="4" t="s">
        <v>323</v>
      </c>
      <c r="B44" s="4" t="s">
        <v>321</v>
      </c>
      <c r="C44" s="4" t="s">
        <v>315</v>
      </c>
    </row>
    <row r="45" customFormat="false" ht="15" hidden="false" customHeight="false" outlineLevel="0" collapsed="false">
      <c r="A45" s="4" t="s">
        <v>324</v>
      </c>
      <c r="B45" s="4" t="s">
        <v>314</v>
      </c>
      <c r="C45" s="4" t="s">
        <v>315</v>
      </c>
    </row>
    <row r="46" customFormat="false" ht="15" hidden="false" customHeight="false" outlineLevel="0" collapsed="false">
      <c r="A46" s="4" t="s">
        <v>325</v>
      </c>
      <c r="B46" s="4" t="s">
        <v>321</v>
      </c>
      <c r="C46" s="4" t="s">
        <v>315</v>
      </c>
    </row>
  </sheetData>
  <mergeCells count="4">
    <mergeCell ref="A1:E1"/>
    <mergeCell ref="A13:E13"/>
    <mergeCell ref="A25:E2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C30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5"/>
    <col collapsed="false" customWidth="true" hidden="false" outlineLevel="0" max="2" min="2" style="0" width="22.5"/>
    <col collapsed="false" customWidth="true" hidden="false" outlineLevel="0" max="3" min="3" style="0" width="14.5"/>
    <col collapsed="false" customWidth="true" hidden="false" outlineLevel="0" max="4" min="4" style="0" width="10.5"/>
    <col collapsed="false" customWidth="true" hidden="false" outlineLevel="0" max="5" min="5" style="0" width="15.5"/>
  </cols>
  <sheetData>
    <row r="1" customFormat="false" ht="42" hidden="false" customHeight="true" outlineLevel="0" collapsed="false">
      <c r="A1" s="1" t="s">
        <v>326</v>
      </c>
      <c r="B1" s="1"/>
      <c r="C1" s="1"/>
      <c r="D1" s="1"/>
      <c r="E1" s="1"/>
      <c r="G1" s="2" t="s">
        <v>1</v>
      </c>
    </row>
    <row r="2" customFormat="false" ht="15" hidden="false" customHeight="false" outlineLevel="0" collapsed="false">
      <c r="A2" s="3" t="s">
        <v>327</v>
      </c>
      <c r="B2" s="3" t="s">
        <v>328</v>
      </c>
      <c r="C2" s="3" t="s">
        <v>128</v>
      </c>
    </row>
    <row r="3" customFormat="false" ht="15" hidden="false" customHeight="false" outlineLevel="0" collapsed="false">
      <c r="A3" s="12" t="s">
        <v>329</v>
      </c>
      <c r="B3" s="13" t="n">
        <v>2024</v>
      </c>
      <c r="C3" s="6" t="str">
        <f aca="false">PROPER(LEFT(A3,4))&amp;"-"&amp;B3</f>
        <v>Choc-2024</v>
      </c>
    </row>
    <row r="4" customFormat="false" ht="15" hidden="false" customHeight="false" outlineLevel="0" collapsed="false">
      <c r="A4" s="12" t="s">
        <v>330</v>
      </c>
      <c r="B4" s="13" t="n">
        <v>2025</v>
      </c>
      <c r="C4" s="6" t="str">
        <f aca="false">PROPER(LEFT(A4,4))&amp;"-"&amp;B4</f>
        <v>Cara-2025</v>
      </c>
    </row>
    <row r="5" customFormat="false" ht="15" hidden="false" customHeight="false" outlineLevel="0" collapsed="false">
      <c r="A5" s="12" t="s">
        <v>331</v>
      </c>
      <c r="B5" s="13" t="n">
        <v>2024</v>
      </c>
      <c r="C5" s="6" t="str">
        <f aca="false">PROPER(LEFT(A5,4))&amp;"-"&amp;B5</f>
        <v>Bisc-2024</v>
      </c>
    </row>
    <row r="6" customFormat="false" ht="15" hidden="false" customHeight="false" outlineLevel="0" collapsed="false">
      <c r="A6" s="12" t="s">
        <v>332</v>
      </c>
      <c r="B6" s="13" t="n">
        <v>2026</v>
      </c>
      <c r="C6" s="6" t="str">
        <f aca="false">PROPER(LEFT(A6,4))&amp;"-"&amp;B6</f>
        <v>Jell-2026</v>
      </c>
    </row>
    <row r="7" customFormat="false" ht="15" hidden="false" customHeight="false" outlineLevel="0" collapsed="false">
      <c r="A7" s="12" t="s">
        <v>333</v>
      </c>
      <c r="B7" s="13" t="n">
        <v>2025</v>
      </c>
      <c r="C7" s="6" t="str">
        <f aca="false">PROPER(LEFT(A7,4))&amp;"-"&amp;B7</f>
        <v>Cand-2025</v>
      </c>
    </row>
    <row r="8" customFormat="false" ht="15" hidden="false" customHeight="false" outlineLevel="0" collapsed="false">
      <c r="A8" s="12" t="s">
        <v>334</v>
      </c>
      <c r="B8" s="13" t="n">
        <v>2024</v>
      </c>
      <c r="C8" s="6" t="str">
        <f aca="false">PROPER(LEFT(A8,4))&amp;"-"&amp;B8</f>
        <v>Waff-2024</v>
      </c>
    </row>
    <row r="9" customFormat="false" ht="15" hidden="false" customHeight="false" outlineLevel="0" collapsed="false">
      <c r="A9" s="12" t="s">
        <v>335</v>
      </c>
      <c r="B9" s="13" t="n">
        <v>2026</v>
      </c>
      <c r="C9" s="6" t="str">
        <f aca="false">PROPER(LEFT(A9,4))&amp;"-"&amp;B9</f>
        <v>Pudd-2026</v>
      </c>
    </row>
    <row r="10" customFormat="false" ht="15" hidden="false" customHeight="false" outlineLevel="0" collapsed="false">
      <c r="A10" s="12" t="s">
        <v>336</v>
      </c>
      <c r="B10" s="13" t="n">
        <v>2025</v>
      </c>
      <c r="C10" s="6" t="str">
        <f aca="false">PROPER(LEFT(A10,4))&amp;"-"&amp;B10</f>
        <v>Brow-2025</v>
      </c>
    </row>
    <row r="13" customFormat="false" ht="42" hidden="false" customHeight="true" outlineLevel="0" collapsed="false">
      <c r="A13" s="1" t="s">
        <v>337</v>
      </c>
      <c r="B13" s="1"/>
      <c r="C13" s="1"/>
      <c r="D13" s="1"/>
      <c r="E13" s="1"/>
    </row>
    <row r="14" customFormat="false" ht="15" hidden="false" customHeight="false" outlineLevel="0" collapsed="false">
      <c r="A14" s="3" t="s">
        <v>2</v>
      </c>
      <c r="B14" s="3" t="s">
        <v>338</v>
      </c>
      <c r="C14" s="3" t="s">
        <v>339</v>
      </c>
    </row>
    <row r="15" customFormat="false" ht="15" hidden="false" customHeight="false" outlineLevel="0" collapsed="false">
      <c r="A15" s="4" t="s">
        <v>340</v>
      </c>
      <c r="B15" s="12" t="s">
        <v>341</v>
      </c>
      <c r="C15" s="6" t="str">
        <f aca="false">MID(B15,1,SEARCH("@",B15)-1)</f>
        <v>minji88</v>
      </c>
    </row>
    <row r="16" customFormat="false" ht="15" hidden="false" customHeight="false" outlineLevel="0" collapsed="false">
      <c r="A16" s="4" t="s">
        <v>342</v>
      </c>
      <c r="B16" s="12" t="s">
        <v>343</v>
      </c>
      <c r="C16" s="6" t="str">
        <f aca="false">MID(B16,1,SEARCH("@",B16)-1)</f>
        <v>sky0412</v>
      </c>
    </row>
    <row r="17" customFormat="false" ht="15" hidden="false" customHeight="false" outlineLevel="0" collapsed="false">
      <c r="A17" s="4" t="s">
        <v>344</v>
      </c>
      <c r="B17" s="12" t="s">
        <v>345</v>
      </c>
      <c r="C17" s="6" t="str">
        <f aca="false">MID(B17,1,SEARCH("@",B17)-1)</f>
        <v>happyday</v>
      </c>
    </row>
    <row r="18" customFormat="false" ht="15" hidden="false" customHeight="false" outlineLevel="0" collapsed="false">
      <c r="A18" s="4" t="s">
        <v>346</v>
      </c>
      <c r="B18" s="12" t="s">
        <v>347</v>
      </c>
      <c r="C18" s="6" t="str">
        <f aca="false">MID(B18,1,SEARCH("@",B18)-1)</f>
        <v>coco2026</v>
      </c>
    </row>
    <row r="19" customFormat="false" ht="15" hidden="false" customHeight="false" outlineLevel="0" collapsed="false">
      <c r="A19" s="4" t="s">
        <v>348</v>
      </c>
      <c r="B19" s="12" t="s">
        <v>349</v>
      </c>
      <c r="C19" s="6" t="str">
        <f aca="false">MID(B19,1,SEARCH("@",B19)-1)</f>
        <v>blueocean</v>
      </c>
    </row>
    <row r="20" customFormat="false" ht="15" hidden="false" customHeight="false" outlineLevel="0" collapsed="false">
      <c r="A20" s="4" t="s">
        <v>350</v>
      </c>
      <c r="B20" s="12" t="s">
        <v>351</v>
      </c>
      <c r="C20" s="6" t="str">
        <f aca="false">MID(B20,1,SEARCH("@",B20)-1)</f>
        <v>star_h</v>
      </c>
    </row>
    <row r="21" customFormat="false" ht="15" hidden="false" customHeight="false" outlineLevel="0" collapsed="false">
      <c r="A21" s="4" t="s">
        <v>352</v>
      </c>
      <c r="B21" s="12" t="s">
        <v>353</v>
      </c>
      <c r="C21" s="6" t="str">
        <f aca="false">MID(B21,1,SEARCH("@",B21)-1)</f>
        <v>gamer77</v>
      </c>
    </row>
    <row r="22" customFormat="false" ht="15" hidden="false" customHeight="false" outlineLevel="0" collapsed="false">
      <c r="A22" s="4" t="s">
        <v>354</v>
      </c>
      <c r="B22" s="12" t="s">
        <v>355</v>
      </c>
      <c r="C22" s="6" t="str">
        <f aca="false">MID(B22,1,SEARCH("@",B22)-1)</f>
        <v>sunny.kim</v>
      </c>
    </row>
    <row r="25" customFormat="false" ht="42" hidden="false" customHeight="true" outlineLevel="0" collapsed="false">
      <c r="A25" s="1" t="s">
        <v>356</v>
      </c>
      <c r="B25" s="1"/>
      <c r="C25" s="1"/>
      <c r="D25" s="1"/>
      <c r="E25" s="1"/>
    </row>
    <row r="26" customFormat="false" ht="15" hidden="false" customHeight="false" outlineLevel="0" collapsed="false">
      <c r="A26" s="3" t="s">
        <v>357</v>
      </c>
      <c r="B26" s="3" t="s">
        <v>358</v>
      </c>
      <c r="C26" s="3" t="s">
        <v>40</v>
      </c>
      <c r="E26" s="3" t="s">
        <v>219</v>
      </c>
    </row>
    <row r="27" customFormat="false" ht="15" hidden="false" customHeight="false" outlineLevel="0" collapsed="false">
      <c r="A27" s="4" t="s">
        <v>359</v>
      </c>
      <c r="B27" s="14" t="n">
        <v>4500</v>
      </c>
      <c r="C27" s="13" t="n">
        <v>320</v>
      </c>
      <c r="E27" s="6" t="str">
        <f aca="false">INDEX(A27:A34,MATCH(MAX(C27:C34),C27:C34,0))</f>
        <v>아메리카노</v>
      </c>
    </row>
    <row r="28" customFormat="false" ht="15" hidden="false" customHeight="false" outlineLevel="0" collapsed="false">
      <c r="A28" s="4" t="s">
        <v>360</v>
      </c>
      <c r="B28" s="14" t="n">
        <v>5000</v>
      </c>
      <c r="C28" s="13" t="n">
        <v>285</v>
      </c>
    </row>
    <row r="29" customFormat="false" ht="15" hidden="false" customHeight="false" outlineLevel="0" collapsed="false">
      <c r="A29" s="4" t="s">
        <v>361</v>
      </c>
      <c r="B29" s="14" t="n">
        <v>5500</v>
      </c>
      <c r="C29" s="13" t="n">
        <v>198</v>
      </c>
    </row>
    <row r="30" customFormat="false" ht="15" hidden="false" customHeight="false" outlineLevel="0" collapsed="false">
      <c r="A30" s="4" t="s">
        <v>362</v>
      </c>
      <c r="B30" s="14" t="n">
        <v>4800</v>
      </c>
      <c r="C30" s="13" t="n">
        <v>246</v>
      </c>
    </row>
    <row r="31" customFormat="false" ht="15" hidden="false" customHeight="false" outlineLevel="0" collapsed="false">
      <c r="A31" s="4" t="s">
        <v>363</v>
      </c>
      <c r="B31" s="14" t="n">
        <v>5300</v>
      </c>
      <c r="C31" s="13" t="n">
        <v>154</v>
      </c>
    </row>
    <row r="32" customFormat="false" ht="15" hidden="false" customHeight="false" outlineLevel="0" collapsed="false">
      <c r="A32" s="4" t="s">
        <v>364</v>
      </c>
      <c r="B32" s="14" t="n">
        <v>5300</v>
      </c>
      <c r="C32" s="13" t="n">
        <v>173</v>
      </c>
    </row>
    <row r="33" customFormat="false" ht="15" hidden="false" customHeight="false" outlineLevel="0" collapsed="false">
      <c r="A33" s="4" t="s">
        <v>365</v>
      </c>
      <c r="B33" s="14" t="n">
        <v>5800</v>
      </c>
      <c r="C33" s="13" t="n">
        <v>121</v>
      </c>
    </row>
    <row r="34" customFormat="false" ht="15" hidden="false" customHeight="false" outlineLevel="0" collapsed="false">
      <c r="A34" s="4" t="s">
        <v>366</v>
      </c>
      <c r="B34" s="14" t="n">
        <v>6000</v>
      </c>
      <c r="C34" s="13" t="n">
        <v>267</v>
      </c>
    </row>
    <row r="37" customFormat="false" ht="42" hidden="false" customHeight="true" outlineLevel="0" collapsed="false">
      <c r="A37" s="1" t="s">
        <v>367</v>
      </c>
      <c r="B37" s="1"/>
      <c r="C37" s="1"/>
      <c r="D37" s="1"/>
      <c r="E37" s="1"/>
    </row>
    <row r="38" customFormat="false" ht="15" hidden="false" customHeight="false" outlineLevel="0" collapsed="false">
      <c r="A38" s="3" t="s">
        <v>368</v>
      </c>
      <c r="B38" s="3" t="s">
        <v>369</v>
      </c>
      <c r="C38" s="3" t="s">
        <v>370</v>
      </c>
      <c r="D38" s="3" t="s">
        <v>371</v>
      </c>
      <c r="E38" s="3" t="s">
        <v>372</v>
      </c>
    </row>
    <row r="39" customFormat="false" ht="15" hidden="false" customHeight="false" outlineLevel="0" collapsed="false">
      <c r="A39" s="4" t="s">
        <v>373</v>
      </c>
      <c r="B39" s="7" t="n">
        <v>3.8</v>
      </c>
      <c r="C39" s="7" t="n">
        <v>4.2</v>
      </c>
      <c r="D39" s="7" t="n">
        <v>4.5</v>
      </c>
      <c r="E39" s="6" t="str">
        <f aca="false">CHOOSE(INT(AVERAGEA(B39:D39)),"D","C","B","A")</f>
        <v>A</v>
      </c>
    </row>
    <row r="40" customFormat="false" ht="15" hidden="false" customHeight="false" outlineLevel="0" collapsed="false">
      <c r="A40" s="4" t="s">
        <v>374</v>
      </c>
      <c r="B40" s="7" t="n">
        <v>2.5</v>
      </c>
      <c r="C40" s="7" t="n">
        <v>3</v>
      </c>
      <c r="D40" s="7" t="n">
        <v>2.9</v>
      </c>
      <c r="E40" s="6" t="str">
        <f aca="false">CHOOSE(INT(AVERAGEA(B40:D40)),"D","C","B","A")</f>
        <v>C</v>
      </c>
    </row>
    <row r="41" customFormat="false" ht="15" hidden="false" customHeight="false" outlineLevel="0" collapsed="false">
      <c r="A41" s="4" t="s">
        <v>375</v>
      </c>
      <c r="B41" s="7" t="n">
        <v>4.5</v>
      </c>
      <c r="C41" s="7" t="n">
        <v>4.8</v>
      </c>
      <c r="D41" s="7" t="n">
        <v>4.6</v>
      </c>
      <c r="E41" s="6" t="str">
        <f aca="false">CHOOSE(INT(AVERAGEA(B41:D41)),"D","C","B","A")</f>
        <v>A</v>
      </c>
    </row>
    <row r="42" customFormat="false" ht="15" hidden="false" customHeight="false" outlineLevel="0" collapsed="false">
      <c r="A42" s="4" t="s">
        <v>376</v>
      </c>
      <c r="B42" s="7" t="n">
        <v>3.2</v>
      </c>
      <c r="C42" s="19" t="s">
        <v>377</v>
      </c>
      <c r="D42" s="7" t="n">
        <v>3.7</v>
      </c>
      <c r="E42" s="6" t="str">
        <f aca="false">CHOOSE(INT(AVERAGEA(B42:D42)),"D","C","B","A")</f>
        <v>C</v>
      </c>
    </row>
    <row r="43" customFormat="false" ht="15" hidden="false" customHeight="false" outlineLevel="0" collapsed="false">
      <c r="A43" s="4" t="s">
        <v>378</v>
      </c>
      <c r="B43" s="7" t="n">
        <v>1.8</v>
      </c>
      <c r="C43" s="7" t="n">
        <v>2.2</v>
      </c>
      <c r="D43" s="7" t="n">
        <v>1.6</v>
      </c>
      <c r="E43" s="6" t="str">
        <f aca="false">CHOOSE(INT(AVERAGEA(B43:D43)),"D","C","B","A")</f>
        <v>D</v>
      </c>
    </row>
    <row r="44" customFormat="false" ht="15" hidden="false" customHeight="false" outlineLevel="0" collapsed="false">
      <c r="A44" s="4" t="s">
        <v>379</v>
      </c>
      <c r="B44" s="7" t="n">
        <v>3.5</v>
      </c>
      <c r="C44" s="7" t="n">
        <v>3.9</v>
      </c>
      <c r="D44" s="7" t="n">
        <v>3.1</v>
      </c>
      <c r="E44" s="6" t="str">
        <f aca="false">CHOOSE(INT(AVERAGEA(B44:D44)),"D","C","B","A")</f>
        <v>B</v>
      </c>
    </row>
    <row r="45" customFormat="false" ht="15" hidden="false" customHeight="false" outlineLevel="0" collapsed="false">
      <c r="A45" s="4" t="s">
        <v>380</v>
      </c>
      <c r="B45" s="7" t="n">
        <v>2.9</v>
      </c>
      <c r="C45" s="7" t="n">
        <v>3.3</v>
      </c>
      <c r="D45" s="19" t="s">
        <v>377</v>
      </c>
      <c r="E45" s="6" t="str">
        <f aca="false">CHOOSE(INT(AVERAGEA(B45:D45)),"D","C","B","A")</f>
        <v>C</v>
      </c>
    </row>
    <row r="46" customFormat="false" ht="15" hidden="false" customHeight="false" outlineLevel="0" collapsed="false">
      <c r="A46" s="4" t="s">
        <v>381</v>
      </c>
      <c r="B46" s="7" t="n">
        <v>4</v>
      </c>
      <c r="C46" s="7" t="n">
        <v>3.6</v>
      </c>
      <c r="D46" s="7" t="n">
        <v>3.9</v>
      </c>
      <c r="E46" s="6" t="str">
        <f aca="false">CHOOSE(INT(AVERAGEA(B46:D46)),"D","C","B","A")</f>
        <v>B</v>
      </c>
    </row>
  </sheetData>
  <mergeCells count="4">
    <mergeCell ref="A1:E1"/>
    <mergeCell ref="A13:E13"/>
    <mergeCell ref="A25:E2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2026-08-24T12:31:16Z</dcterms:created>
  <dc:creator>openpyxl</dc:creator>
  <dc:description/>
  <dc:language>en-US</dc:language>
  <cp:lastModifiedBy/>
  <dcterms:modified xsi:type="dcterms:W3CDTF">2026-08-24T12:31:16Z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