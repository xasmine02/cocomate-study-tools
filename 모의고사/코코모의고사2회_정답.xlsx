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작업-1" sheetId="1" state="visible" r:id="rId1"/>
    <sheet name="기본작업-2" sheetId="2" state="visible" r:id="rId2"/>
    <sheet name="기본작업-3" sheetId="3" state="visible" r:id="rId3"/>
    <sheet name="계산작업" sheetId="4" state="visible" r:id="rId4"/>
    <sheet name="분석작업-1" sheetId="5" state="visible" r:id="rId5"/>
    <sheet name="분석작업-2" sheetId="6" state="visible" r:id="rId6"/>
    <sheet name="매크로작업" sheetId="7" state="visible" r:id="rId7"/>
    <sheet name="차트작업" sheetId="8" state="visible" r:id="rId8"/>
  </sheets>
  <definedNames>
    <definedName name="기본급">'기본작업-2'!$E$4:$E$11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,&quot;천원&quot;"/>
  </numFmts>
  <fonts count="4">
    <font>
      <name val="Calibri"/>
      <family val="2"/>
      <color theme="1"/>
      <sz val="11"/>
      <scheme val="minor"/>
    </font>
    <font>
      <name val="맑은 고딕"/>
      <sz val="11"/>
    </font>
    <font>
      <name val="돋움"/>
      <b val="1"/>
      <sz val="16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164" fontId="1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지점별 상하반기 매출 현황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'차트작업'!B3</f>
            </strRef>
          </tx>
          <spPr>
            <a:ln>
              <a:prstDash val="solid"/>
            </a:ln>
          </spPr>
          <cat>
            <numRef>
              <f>'차트작업'!$A$4:$A$8</f>
            </numRef>
          </cat>
          <val>
            <numRef>
              <f>'차트작업'!$B$4:$B$8</f>
            </numRef>
          </val>
        </ser>
        <ser>
          <idx val="1"/>
          <order val="1"/>
          <tx>
            <strRef>
              <f>'차트작업'!C3</f>
            </strRef>
          </tx>
          <spPr>
            <a:ln>
              <a:prstDash val="solid"/>
            </a:ln>
          </spPr>
          <dLbls>
            <showVal val="1"/>
          </dLbls>
          <cat>
            <numRef>
              <f>'차트작업'!$A$4:$A$8</f>
            </numRef>
          </cat>
          <val>
            <numRef>
              <f>'차트작업'!$C$4:$C$8</f>
            </numRef>
          </val>
        </ser>
        <gapWidth val="150"/>
        <overlap val="-27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매출액(만원)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8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코코펜션 8월 예약 현황</t>
        </is>
      </c>
    </row>
    <row r="3">
      <c r="A3" s="1" t="inlineStr">
        <is>
          <t>예약코드</t>
        </is>
      </c>
      <c r="B3" s="1" t="inlineStr">
        <is>
          <t>고객명</t>
        </is>
      </c>
      <c r="C3" s="1" t="inlineStr">
        <is>
          <t>객실명</t>
        </is>
      </c>
      <c r="D3" s="1" t="inlineStr">
        <is>
          <t>인원</t>
        </is>
      </c>
      <c r="E3" s="1" t="inlineStr">
        <is>
          <t>입실일</t>
        </is>
      </c>
      <c r="F3" s="1" t="inlineStr">
        <is>
          <t>숙박일수</t>
        </is>
      </c>
      <c r="G3" s="1" t="inlineStr">
        <is>
          <t>결제금액</t>
        </is>
      </c>
    </row>
    <row r="4">
      <c r="A4" s="1" t="inlineStr">
        <is>
          <t>RS-101</t>
        </is>
      </c>
      <c r="B4" s="1" t="inlineStr">
        <is>
          <t>김민준</t>
        </is>
      </c>
      <c r="C4" s="1" t="inlineStr">
        <is>
          <t>솔향기</t>
        </is>
      </c>
      <c r="D4" s="1" t="n">
        <v>4</v>
      </c>
      <c r="E4" s="1" t="inlineStr">
        <is>
          <t>2026-08-07</t>
        </is>
      </c>
      <c r="F4" s="1" t="n">
        <v>2</v>
      </c>
      <c r="G4" s="1" t="n">
        <v>380000</v>
      </c>
    </row>
    <row r="5">
      <c r="A5" s="1" t="inlineStr">
        <is>
          <t>RS-102</t>
        </is>
      </c>
      <c r="B5" s="1" t="inlineStr">
        <is>
          <t>이서연</t>
        </is>
      </c>
      <c r="C5" s="1" t="inlineStr">
        <is>
          <t>달맞이</t>
        </is>
      </c>
      <c r="D5" s="1" t="n">
        <v>2</v>
      </c>
      <c r="E5" s="1" t="inlineStr">
        <is>
          <t>2026-08-08</t>
        </is>
      </c>
      <c r="F5" s="1" t="n">
        <v>1</v>
      </c>
      <c r="G5" s="1" t="n">
        <v>150000</v>
      </c>
    </row>
    <row r="6">
      <c r="A6" s="1" t="inlineStr">
        <is>
          <t>RS-103</t>
        </is>
      </c>
      <c r="B6" s="1" t="inlineStr">
        <is>
          <t>박지훈</t>
        </is>
      </c>
      <c r="C6" s="1" t="inlineStr">
        <is>
          <t>별헤는</t>
        </is>
      </c>
      <c r="D6" s="1" t="n">
        <v>6</v>
      </c>
      <c r="E6" s="1" t="inlineStr">
        <is>
          <t>2026-08-10</t>
        </is>
      </c>
      <c r="F6" s="1" t="n">
        <v>3</v>
      </c>
      <c r="G6" s="1" t="n">
        <v>720000</v>
      </c>
    </row>
    <row r="7">
      <c r="A7" s="1" t="inlineStr">
        <is>
          <t>RS-104</t>
        </is>
      </c>
      <c r="B7" s="1" t="inlineStr">
        <is>
          <t>최수아</t>
        </is>
      </c>
      <c r="C7" s="1" t="inlineStr">
        <is>
          <t>솔향기</t>
        </is>
      </c>
      <c r="D7" s="1" t="n">
        <v>4</v>
      </c>
      <c r="E7" s="1" t="inlineStr">
        <is>
          <t>2026-08-12</t>
        </is>
      </c>
      <c r="F7" s="1" t="n">
        <v>2</v>
      </c>
      <c r="G7" s="1" t="n">
        <v>380000</v>
      </c>
    </row>
    <row r="8">
      <c r="A8" s="1" t="inlineStr">
        <is>
          <t>RS-105</t>
        </is>
      </c>
      <c r="B8" s="1" t="inlineStr">
        <is>
          <t>정우진</t>
        </is>
      </c>
      <c r="C8" s="1" t="inlineStr">
        <is>
          <t>하늘채</t>
        </is>
      </c>
      <c r="D8" s="1" t="n">
        <v>8</v>
      </c>
      <c r="E8" s="1" t="inlineStr">
        <is>
          <t>2026-08-14</t>
        </is>
      </c>
      <c r="F8" s="1" t="n">
        <v>2</v>
      </c>
      <c r="G8" s="1" t="n">
        <v>560000</v>
      </c>
    </row>
    <row r="9">
      <c r="A9" s="1" t="inlineStr">
        <is>
          <t>RS-106</t>
        </is>
      </c>
      <c r="B9" s="1" t="inlineStr">
        <is>
          <t>한예린</t>
        </is>
      </c>
      <c r="C9" s="1" t="inlineStr">
        <is>
          <t>달맞이</t>
        </is>
      </c>
      <c r="D9" s="1" t="n">
        <v>2</v>
      </c>
      <c r="E9" s="1" t="inlineStr">
        <is>
          <t>2026-08-15</t>
        </is>
      </c>
      <c r="F9" s="1" t="n">
        <v>2</v>
      </c>
      <c r="G9" s="1" t="n">
        <v>300000</v>
      </c>
    </row>
    <row r="10">
      <c r="A10" s="1" t="inlineStr">
        <is>
          <t>RS-107</t>
        </is>
      </c>
      <c r="B10" s="1" t="inlineStr">
        <is>
          <t>오도현</t>
        </is>
      </c>
      <c r="C10" s="1" t="inlineStr">
        <is>
          <t>별헤는</t>
        </is>
      </c>
      <c r="D10" s="1" t="n">
        <v>5</v>
      </c>
      <c r="E10" s="1" t="inlineStr">
        <is>
          <t>2026-08-18</t>
        </is>
      </c>
      <c r="F10" s="1" t="n">
        <v>1</v>
      </c>
      <c r="G10" s="1" t="n">
        <v>240000</v>
      </c>
    </row>
    <row r="11">
      <c r="A11" s="1" t="inlineStr">
        <is>
          <t>RS-108</t>
        </is>
      </c>
      <c r="B11" s="1" t="inlineStr">
        <is>
          <t>임하늘</t>
        </is>
      </c>
      <c r="C11" s="1" t="inlineStr">
        <is>
          <t>하늘채</t>
        </is>
      </c>
      <c r="D11" s="1" t="n">
        <v>7</v>
      </c>
      <c r="E11" s="1" t="inlineStr">
        <is>
          <t>2026-08-21</t>
        </is>
      </c>
      <c r="F11" s="1" t="n">
        <v>3</v>
      </c>
      <c r="G11" s="1" t="n">
        <v>840000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.625" customWidth="1" min="1" max="1"/>
  </cols>
  <sheetData>
    <row r="1" ht="28" customHeight="1">
      <c r="A1" s="2" t="inlineStr">
        <is>
          <t>미래상사 사원 급여 지급 현황</t>
        </is>
      </c>
    </row>
    <row r="3">
      <c r="A3" s="3" t="inlineStr">
        <is>
          <t>사원번호</t>
        </is>
      </c>
      <c r="B3" s="3" t="inlineStr">
        <is>
          <t>성명</t>
        </is>
      </c>
      <c r="C3" s="3" t="inlineStr">
        <is>
          <t>부서명</t>
        </is>
      </c>
      <c r="D3" s="3" t="inlineStr">
        <is>
          <t>직급</t>
        </is>
      </c>
      <c r="E3" s="3" t="inlineStr">
        <is>
          <t>기본급</t>
        </is>
      </c>
      <c r="F3" s="3" t="inlineStr">
        <is>
          <t>수당</t>
        </is>
      </c>
      <c r="G3" s="3" t="inlineStr">
        <is>
          <t>지급액</t>
        </is>
      </c>
    </row>
    <row r="4">
      <c r="A4" s="3" t="inlineStr">
        <is>
          <t>EMP-01</t>
        </is>
      </c>
      <c r="B4" s="3" t="inlineStr">
        <is>
          <t>강다은</t>
        </is>
      </c>
      <c r="C4" s="3" t="inlineStr">
        <is>
          <t>영업부</t>
        </is>
      </c>
      <c r="D4" s="3" t="inlineStr">
        <is>
          <t>과장</t>
        </is>
      </c>
      <c r="E4" s="3" t="n">
        <v>3200000</v>
      </c>
      <c r="F4" s="3" t="n">
        <v>450000</v>
      </c>
      <c r="G4" s="4" t="n">
        <v>3650000</v>
      </c>
    </row>
    <row r="5">
      <c r="A5" s="3" t="inlineStr">
        <is>
          <t>EMP-02</t>
        </is>
      </c>
      <c r="B5" s="3" t="inlineStr">
        <is>
          <t>문준호</t>
        </is>
      </c>
      <c r="C5" s="3" t="inlineStr">
        <is>
          <t>총무부</t>
        </is>
      </c>
      <c r="D5" s="3" t="inlineStr">
        <is>
          <t>대리</t>
        </is>
      </c>
      <c r="E5" s="3" t="n">
        <v>2800000</v>
      </c>
      <c r="F5" s="3" t="n">
        <v>320000</v>
      </c>
      <c r="G5" s="4" t="n">
        <v>3120000</v>
      </c>
    </row>
    <row r="6">
      <c r="A6" s="3" t="inlineStr">
        <is>
          <t>EMP-03</t>
        </is>
      </c>
      <c r="B6" s="3" t="inlineStr">
        <is>
          <t>배소율</t>
        </is>
      </c>
      <c r="C6" s="3" t="inlineStr">
        <is>
          <t>영업부</t>
        </is>
      </c>
      <c r="D6" s="3" t="inlineStr">
        <is>
          <t>사원</t>
        </is>
      </c>
      <c r="E6" s="3" t="n">
        <v>2400000</v>
      </c>
      <c r="F6" s="3" t="n">
        <v>280000</v>
      </c>
      <c r="G6" s="4" t="n">
        <v>2680000</v>
      </c>
    </row>
    <row r="7">
      <c r="A7" s="3" t="inlineStr">
        <is>
          <t>EMP-04</t>
        </is>
      </c>
      <c r="B7" s="3" t="inlineStr">
        <is>
          <t>신재원</t>
        </is>
      </c>
      <c r="C7" s="3" t="inlineStr">
        <is>
          <t>기획부</t>
        </is>
      </c>
      <c r="D7" s="3" t="inlineStr">
        <is>
          <t>차장</t>
        </is>
      </c>
      <c r="E7" s="3" t="n">
        <v>3600000</v>
      </c>
      <c r="F7" s="3" t="n">
        <v>500000</v>
      </c>
      <c r="G7" s="4" t="n">
        <v>4100000</v>
      </c>
    </row>
    <row r="8">
      <c r="A8" s="3" t="inlineStr">
        <is>
          <t>EMP-05</t>
        </is>
      </c>
      <c r="B8" s="3" t="inlineStr">
        <is>
          <t>유가온</t>
        </is>
      </c>
      <c r="C8" s="3" t="inlineStr">
        <is>
          <t>총무부</t>
        </is>
      </c>
      <c r="D8" s="3" t="inlineStr">
        <is>
          <t>사원</t>
        </is>
      </c>
      <c r="E8" s="3" t="n">
        <v>2350000</v>
      </c>
      <c r="F8" s="3" t="n">
        <v>250000</v>
      </c>
      <c r="G8" s="4" t="n">
        <v>2600000</v>
      </c>
    </row>
    <row r="9">
      <c r="A9" s="3" t="inlineStr">
        <is>
          <t>EMP-06</t>
        </is>
      </c>
      <c r="B9" s="3" t="inlineStr">
        <is>
          <t>장하람</t>
        </is>
      </c>
      <c r="C9" s="3" t="inlineStr">
        <is>
          <t>기획부</t>
        </is>
      </c>
      <c r="D9" s="3" t="inlineStr">
        <is>
          <t>대리</t>
        </is>
      </c>
      <c r="E9" s="3" t="n">
        <v>2900000</v>
      </c>
      <c r="F9" s="3" t="n">
        <v>340000</v>
      </c>
      <c r="G9" s="4" t="n">
        <v>3240000</v>
      </c>
    </row>
    <row r="10">
      <c r="A10" s="3" t="inlineStr">
        <is>
          <t>EMP-07</t>
        </is>
      </c>
      <c r="B10" s="3" t="inlineStr">
        <is>
          <t>조은채</t>
        </is>
      </c>
      <c r="C10" s="3" t="inlineStr">
        <is>
          <t>영업부</t>
        </is>
      </c>
      <c r="D10" s="3" t="inlineStr">
        <is>
          <t>부장</t>
        </is>
      </c>
      <c r="E10" s="3" t="n">
        <v>4100000</v>
      </c>
      <c r="F10" s="3" t="n">
        <v>600000</v>
      </c>
      <c r="G10" s="4" t="n">
        <v>4700000</v>
      </c>
    </row>
    <row r="11">
      <c r="A11" s="3" t="inlineStr">
        <is>
          <t>EMP-08</t>
        </is>
      </c>
      <c r="B11" s="3" t="inlineStr">
        <is>
          <t>홍시우</t>
        </is>
      </c>
      <c r="C11" s="3" t="inlineStr">
        <is>
          <t>총무부</t>
        </is>
      </c>
      <c r="D11" s="3" t="inlineStr">
        <is>
          <t>과장</t>
        </is>
      </c>
      <c r="E11" s="3" t="n">
        <v>3300000</v>
      </c>
      <c r="F11" s="3" t="n">
        <v>430000</v>
      </c>
      <c r="G11" s="4" t="n">
        <v>3730000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한빛도서관 도서 대출 현황</t>
        </is>
      </c>
    </row>
    <row r="3">
      <c r="A3" s="5" t="inlineStr">
        <is>
          <t>도서코드</t>
        </is>
      </c>
      <c r="B3" s="5" t="inlineStr">
        <is>
          <t>도서명</t>
        </is>
      </c>
      <c r="C3" s="5" t="inlineStr">
        <is>
          <t>분류</t>
        </is>
      </c>
      <c r="D3" s="5" t="inlineStr">
        <is>
          <t>저자</t>
        </is>
      </c>
      <c r="E3" s="5" t="inlineStr">
        <is>
          <t>출판연도</t>
        </is>
      </c>
      <c r="F3" s="5" t="inlineStr">
        <is>
          <t>대출횟수</t>
        </is>
      </c>
    </row>
    <row r="4">
      <c r="A4" s="3" t="inlineStr">
        <is>
          <t>BK-001</t>
        </is>
      </c>
      <c r="B4" s="3" t="inlineStr">
        <is>
          <t>바람의 노래</t>
        </is>
      </c>
      <c r="C4" s="3" t="inlineStr">
        <is>
          <t>소설</t>
        </is>
      </c>
      <c r="D4" s="3" t="inlineStr">
        <is>
          <t>김하윤</t>
        </is>
      </c>
      <c r="E4" s="3" t="n">
        <v>2021</v>
      </c>
      <c r="F4" s="3" t="n">
        <v>45</v>
      </c>
    </row>
    <row r="5">
      <c r="A5" s="3" t="inlineStr">
        <is>
          <t>BK-002</t>
        </is>
      </c>
      <c r="B5" s="3" t="inlineStr">
        <is>
          <t>수학의 정원</t>
        </is>
      </c>
      <c r="C5" s="3" t="inlineStr">
        <is>
          <t>아동</t>
        </is>
      </c>
      <c r="D5" s="3" t="inlineStr">
        <is>
          <t>박서준</t>
        </is>
      </c>
      <c r="E5" s="3" t="n">
        <v>2020</v>
      </c>
      <c r="F5" s="3" t="n">
        <v>38</v>
      </c>
    </row>
    <row r="6">
      <c r="A6" s="3" t="inlineStr">
        <is>
          <t>BK-003</t>
        </is>
      </c>
      <c r="B6" s="3" t="inlineStr">
        <is>
          <t>별빛 여행</t>
        </is>
      </c>
      <c r="C6" s="3" t="inlineStr">
        <is>
          <t>소설</t>
        </is>
      </c>
      <c r="D6" s="3" t="inlineStr">
        <is>
          <t>이도경</t>
        </is>
      </c>
      <c r="E6" s="3" t="n">
        <v>2022</v>
      </c>
      <c r="F6" s="3" t="n">
        <v>52</v>
      </c>
    </row>
    <row r="7">
      <c r="A7" s="3" t="inlineStr">
        <is>
          <t>BK-004</t>
        </is>
      </c>
      <c r="B7" s="3" t="inlineStr">
        <is>
          <t>김치의 과학</t>
        </is>
      </c>
      <c r="C7" s="3" t="inlineStr">
        <is>
          <t>요리</t>
        </is>
      </c>
      <c r="D7" s="3" t="inlineStr">
        <is>
          <t>김보라</t>
        </is>
      </c>
      <c r="E7" s="3" t="n">
        <v>2019</v>
      </c>
      <c r="F7" s="3" t="n">
        <v>27</v>
      </c>
    </row>
    <row r="8">
      <c r="A8" s="3" t="inlineStr">
        <is>
          <t>BK-005</t>
        </is>
      </c>
      <c r="B8" s="3" t="inlineStr">
        <is>
          <t>초록 지구 이야기</t>
        </is>
      </c>
      <c r="C8" s="3" t="inlineStr">
        <is>
          <t>아동</t>
        </is>
      </c>
      <c r="D8" s="3" t="inlineStr">
        <is>
          <t>정민서</t>
        </is>
      </c>
      <c r="E8" s="3" t="n">
        <v>2023</v>
      </c>
      <c r="F8" s="3" t="n">
        <v>61</v>
      </c>
    </row>
    <row r="9">
      <c r="A9" s="3" t="inlineStr">
        <is>
          <t>BK-006</t>
        </is>
      </c>
      <c r="B9" s="3" t="inlineStr">
        <is>
          <t>역사 속 인물들</t>
        </is>
      </c>
      <c r="C9" s="3" t="inlineStr">
        <is>
          <t>역사</t>
        </is>
      </c>
      <c r="D9" s="3" t="inlineStr">
        <is>
          <t>김도윤</t>
        </is>
      </c>
      <c r="E9" s="3" t="n">
        <v>2021</v>
      </c>
      <c r="F9" s="3" t="n">
        <v>33</v>
      </c>
    </row>
    <row r="10">
      <c r="A10" s="3" t="inlineStr">
        <is>
          <t>BK-007</t>
        </is>
      </c>
      <c r="B10" s="3" t="inlineStr">
        <is>
          <t>겨울 바다</t>
        </is>
      </c>
      <c r="C10" s="3" t="inlineStr">
        <is>
          <t>소설</t>
        </is>
      </c>
      <c r="D10" s="3" t="inlineStr">
        <is>
          <t>한지안</t>
        </is>
      </c>
      <c r="E10" s="3" t="n">
        <v>2020</v>
      </c>
      <c r="F10" s="3" t="n">
        <v>29</v>
      </c>
    </row>
    <row r="11">
      <c r="A11" s="3" t="inlineStr">
        <is>
          <t>BK-008</t>
        </is>
      </c>
      <c r="B11" s="3" t="inlineStr">
        <is>
          <t>로봇 친구들</t>
        </is>
      </c>
      <c r="C11" s="3" t="inlineStr">
        <is>
          <t>아동</t>
        </is>
      </c>
      <c r="D11" s="3" t="inlineStr">
        <is>
          <t>김서아</t>
        </is>
      </c>
      <c r="E11" s="3" t="n">
        <v>2022</v>
      </c>
      <c r="F11" s="3" t="n">
        <v>58</v>
      </c>
    </row>
    <row r="12">
      <c r="A12" s="3" t="inlineStr">
        <is>
          <t>BK-009</t>
        </is>
      </c>
      <c r="B12" s="3" t="inlineStr">
        <is>
          <t>커피 한 잔의 화학</t>
        </is>
      </c>
      <c r="C12" s="3" t="inlineStr">
        <is>
          <t>과학</t>
        </is>
      </c>
      <c r="D12" s="3" t="inlineStr">
        <is>
          <t>오유준</t>
        </is>
      </c>
      <c r="E12" s="3" t="n">
        <v>2023</v>
      </c>
      <c r="F12" s="3" t="n">
        <v>41</v>
      </c>
    </row>
    <row r="13">
      <c r="A13" s="3" t="inlineStr">
        <is>
          <t>BK-010</t>
        </is>
      </c>
      <c r="B13" s="3" t="inlineStr">
        <is>
          <t>도시의 밤</t>
        </is>
      </c>
      <c r="C13" s="3" t="inlineStr">
        <is>
          <t>소설</t>
        </is>
      </c>
      <c r="D13" s="3" t="inlineStr">
        <is>
          <t>김은우</t>
        </is>
      </c>
      <c r="E13" s="3" t="n">
        <v>2019</v>
      </c>
      <c r="F13" s="3" t="n">
        <v>36</v>
      </c>
    </row>
    <row r="15">
      <c r="A15" s="1" t="inlineStr">
        <is>
          <t>분류</t>
        </is>
      </c>
      <c r="B15" s="1" t="inlineStr">
        <is>
          <t>저자</t>
        </is>
      </c>
    </row>
    <row r="16">
      <c r="A16" s="1" t="inlineStr">
        <is>
          <t>&lt;&gt;아동</t>
        </is>
      </c>
      <c r="B16" s="1" t="inlineStr">
        <is>
          <t>김*</t>
        </is>
      </c>
    </row>
    <row r="18">
      <c r="A18" s="1" t="inlineStr">
        <is>
          <t>도서코드</t>
        </is>
      </c>
      <c r="B18" s="1" t="inlineStr">
        <is>
          <t>도서명</t>
        </is>
      </c>
      <c r="C18" s="1" t="inlineStr">
        <is>
          <t>분류</t>
        </is>
      </c>
      <c r="D18" s="1" t="inlineStr">
        <is>
          <t>저자</t>
        </is>
      </c>
      <c r="E18" s="1" t="inlineStr">
        <is>
          <t>출판연도</t>
        </is>
      </c>
      <c r="F18" s="1" t="inlineStr">
        <is>
          <t>대출횟수</t>
        </is>
      </c>
    </row>
    <row r="19">
      <c r="A19" s="1" t="inlineStr">
        <is>
          <t>BK-001</t>
        </is>
      </c>
      <c r="B19" s="1" t="inlineStr">
        <is>
          <t>바람의 노래</t>
        </is>
      </c>
      <c r="C19" s="1" t="inlineStr">
        <is>
          <t>소설</t>
        </is>
      </c>
      <c r="D19" s="1" t="inlineStr">
        <is>
          <t>김하윤</t>
        </is>
      </c>
      <c r="E19" s="1" t="n">
        <v>2021</v>
      </c>
      <c r="F19" s="1" t="n">
        <v>45</v>
      </c>
    </row>
    <row r="20">
      <c r="A20" s="1" t="inlineStr">
        <is>
          <t>BK-004</t>
        </is>
      </c>
      <c r="B20" s="1" t="inlineStr">
        <is>
          <t>김치의 과학</t>
        </is>
      </c>
      <c r="C20" s="1" t="inlineStr">
        <is>
          <t>요리</t>
        </is>
      </c>
      <c r="D20" s="1" t="inlineStr">
        <is>
          <t>김보라</t>
        </is>
      </c>
      <c r="E20" s="1" t="n">
        <v>2019</v>
      </c>
      <c r="F20" s="1" t="n">
        <v>27</v>
      </c>
    </row>
    <row r="21">
      <c r="A21" s="1" t="inlineStr">
        <is>
          <t>BK-006</t>
        </is>
      </c>
      <c r="B21" s="1" t="inlineStr">
        <is>
          <t>역사 속 인물들</t>
        </is>
      </c>
      <c r="C21" s="1" t="inlineStr">
        <is>
          <t>역사</t>
        </is>
      </c>
      <c r="D21" s="1" t="inlineStr">
        <is>
          <t>김도윤</t>
        </is>
      </c>
      <c r="E21" s="1" t="n">
        <v>2021</v>
      </c>
      <c r="F21" s="1" t="n">
        <v>33</v>
      </c>
    </row>
    <row r="22">
      <c r="A22" s="1" t="inlineStr">
        <is>
          <t>BK-010</t>
        </is>
      </c>
      <c r="B22" s="1" t="inlineStr">
        <is>
          <t>도시의 밤</t>
        </is>
      </c>
      <c r="C22" s="1" t="inlineStr">
        <is>
          <t>소설</t>
        </is>
      </c>
      <c r="D22" s="1" t="inlineStr">
        <is>
          <t>김은우</t>
        </is>
      </c>
      <c r="E22" s="1" t="n">
        <v>2019</v>
      </c>
      <c r="F22" s="1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8" customWidth="1" min="5" max="5"/>
    <col width="3" customWidth="1" min="6" max="6"/>
    <col width="10" customWidth="1" min="7" max="7"/>
    <col width="16" customWidth="1" min="8" max="8"/>
    <col width="10" customWidth="1" min="9" max="9"/>
    <col width="10" customWidth="1" min="10" max="10"/>
  </cols>
  <sheetData>
    <row r="1">
      <c r="A1" s="6" t="inlineStr">
        <is>
          <t>[표1] 헬스클럽 회원 체력 평가</t>
        </is>
      </c>
      <c r="G1" s="6" t="inlineStr">
        <is>
          <t>[표2] 문화센터 회원 명단</t>
        </is>
      </c>
    </row>
    <row r="2">
      <c r="A2" s="5" t="inlineStr">
        <is>
          <t>회원명</t>
        </is>
      </c>
      <c r="B2" s="5" t="inlineStr">
        <is>
          <t>성별</t>
        </is>
      </c>
      <c r="C2" s="5" t="inlineStr">
        <is>
          <t>나이</t>
        </is>
      </c>
      <c r="D2" s="5" t="inlineStr">
        <is>
          <t>평가점수</t>
        </is>
      </c>
      <c r="E2" s="5" t="inlineStr">
        <is>
          <t>등급</t>
        </is>
      </c>
      <c r="G2" s="5" t="inlineStr">
        <is>
          <t>회원명</t>
        </is>
      </c>
      <c r="H2" s="5" t="inlineStr">
        <is>
          <t>주민등록번호</t>
        </is>
      </c>
      <c r="I2" s="5" t="inlineStr">
        <is>
          <t>성별</t>
        </is>
      </c>
    </row>
    <row r="3">
      <c r="A3" s="3" t="inlineStr">
        <is>
          <t>김주원</t>
        </is>
      </c>
      <c r="B3" s="3" t="inlineStr">
        <is>
          <t>남</t>
        </is>
      </c>
      <c r="C3" s="3" t="n">
        <v>34</v>
      </c>
      <c r="D3" s="3" t="n">
        <v>82</v>
      </c>
      <c r="E3" s="3">
        <f>IF(D3&gt;=LARGE($D$3:$D$12,2),"A",IF(D3&lt;=SMALL($D$3:$D$12,2),"C","B"))</f>
        <v/>
      </c>
      <c r="G3" s="3" t="inlineStr">
        <is>
          <t>강은서</t>
        </is>
      </c>
      <c r="H3" s="3" t="inlineStr">
        <is>
          <t>020415-4******</t>
        </is>
      </c>
      <c r="I3" s="3">
        <f>CHOOSE(MID(H3,8,1),"남","여","남","여")</f>
        <v/>
      </c>
    </row>
    <row r="4">
      <c r="A4" s="3" t="inlineStr">
        <is>
          <t>이하린</t>
        </is>
      </c>
      <c r="B4" s="3" t="inlineStr">
        <is>
          <t>여</t>
        </is>
      </c>
      <c r="C4" s="3" t="n">
        <v>28</v>
      </c>
      <c r="D4" s="3" t="n">
        <v>91</v>
      </c>
      <c r="E4" s="3">
        <f>IF(D4&gt;=LARGE($D$3:$D$12,2),"A",IF(D4&lt;=SMALL($D$3:$D$12,2),"C","B"))</f>
        <v/>
      </c>
      <c r="G4" s="3" t="inlineStr">
        <is>
          <t>노아준</t>
        </is>
      </c>
      <c r="H4" s="3" t="inlineStr">
        <is>
          <t>990712-1******</t>
        </is>
      </c>
      <c r="I4" s="3">
        <f>CHOOSE(MID(H4,8,1),"남","여","남","여")</f>
        <v/>
      </c>
    </row>
    <row r="5">
      <c r="A5" s="3" t="inlineStr">
        <is>
          <t>박준서</t>
        </is>
      </c>
      <c r="B5" s="3" t="inlineStr">
        <is>
          <t>남</t>
        </is>
      </c>
      <c r="C5" s="3" t="n">
        <v>41</v>
      </c>
      <c r="D5" s="3" t="n">
        <v>76</v>
      </c>
      <c r="E5" s="3">
        <f>IF(D5&gt;=LARGE($D$3:$D$12,2),"A",IF(D5&lt;=SMALL($D$3:$D$12,2),"C","B"))</f>
        <v/>
      </c>
      <c r="G5" s="3" t="inlineStr">
        <is>
          <t>배주하</t>
        </is>
      </c>
      <c r="H5" s="3" t="inlineStr">
        <is>
          <t>010923-4******</t>
        </is>
      </c>
      <c r="I5" s="3">
        <f>CHOOSE(MID(H5,8,1),"남","여","남","여")</f>
        <v/>
      </c>
    </row>
    <row r="6">
      <c r="A6" s="3" t="inlineStr">
        <is>
          <t>최유나</t>
        </is>
      </c>
      <c r="B6" s="3" t="inlineStr">
        <is>
          <t>여</t>
        </is>
      </c>
      <c r="C6" s="3" t="n">
        <v>36</v>
      </c>
      <c r="D6" s="3" t="n">
        <v>88</v>
      </c>
      <c r="E6" s="3">
        <f>IF(D6&gt;=LARGE($D$3:$D$12,2),"A",IF(D6&lt;=SMALL($D$3:$D$12,2),"C","B"))</f>
        <v/>
      </c>
      <c r="G6" s="3" t="inlineStr">
        <is>
          <t>송민결</t>
        </is>
      </c>
      <c r="H6" s="3" t="inlineStr">
        <is>
          <t>890304-1******</t>
        </is>
      </c>
      <c r="I6" s="3">
        <f>CHOOSE(MID(H6,8,1),"남","여","남","여")</f>
        <v/>
      </c>
    </row>
    <row r="7">
      <c r="A7" s="3" t="inlineStr">
        <is>
          <t>정시온</t>
        </is>
      </c>
      <c r="B7" s="3" t="inlineStr">
        <is>
          <t>남</t>
        </is>
      </c>
      <c r="C7" s="3" t="n">
        <v>25</v>
      </c>
      <c r="D7" s="3" t="n">
        <v>95</v>
      </c>
      <c r="E7" s="3">
        <f>IF(D7&gt;=LARGE($D$3:$D$12,2),"A",IF(D7&lt;=SMALL($D$3:$D$12,2),"C","B"))</f>
        <v/>
      </c>
      <c r="G7" s="3" t="inlineStr">
        <is>
          <t>안세라</t>
        </is>
      </c>
      <c r="H7" s="3" t="inlineStr">
        <is>
          <t>940815-2******</t>
        </is>
      </c>
      <c r="I7" s="3">
        <f>CHOOSE(MID(H7,8,1),"남","여","남","여")</f>
        <v/>
      </c>
    </row>
    <row r="8">
      <c r="A8" s="3" t="inlineStr">
        <is>
          <t>한소미</t>
        </is>
      </c>
      <c r="B8" s="3" t="inlineStr">
        <is>
          <t>여</t>
        </is>
      </c>
      <c r="C8" s="3" t="n">
        <v>30</v>
      </c>
      <c r="D8" s="3" t="n">
        <v>69</v>
      </c>
      <c r="E8" s="3">
        <f>IF(D8&gt;=LARGE($D$3:$D$12,2),"A",IF(D8&lt;=SMALL($D$3:$D$12,2),"C","B"))</f>
        <v/>
      </c>
      <c r="G8" s="3" t="inlineStr">
        <is>
          <t>원지한</t>
        </is>
      </c>
      <c r="H8" s="3" t="inlineStr">
        <is>
          <t>040622-3******</t>
        </is>
      </c>
      <c r="I8" s="3">
        <f>CHOOSE(MID(H8,8,1),"남","여","남","여")</f>
        <v/>
      </c>
    </row>
    <row r="9">
      <c r="A9" s="3" t="inlineStr">
        <is>
          <t>오건우</t>
        </is>
      </c>
      <c r="B9" s="3" t="inlineStr">
        <is>
          <t>남</t>
        </is>
      </c>
      <c r="C9" s="3" t="n">
        <v>45</v>
      </c>
      <c r="D9" s="3" t="n">
        <v>73</v>
      </c>
      <c r="E9" s="3">
        <f>IF(D9&gt;=LARGE($D$3:$D$12,2),"A",IF(D9&lt;=SMALL($D$3:$D$12,2),"C","B"))</f>
        <v/>
      </c>
      <c r="G9" s="3" t="inlineStr">
        <is>
          <t>전수빈</t>
        </is>
      </c>
      <c r="H9" s="3" t="inlineStr">
        <is>
          <t>921107-2******</t>
        </is>
      </c>
      <c r="I9" s="3">
        <f>CHOOSE(MID(H9,8,1),"남","여","남","여")</f>
        <v/>
      </c>
    </row>
    <row r="10">
      <c r="A10" s="3" t="inlineStr">
        <is>
          <t>임채원</t>
        </is>
      </c>
      <c r="B10" s="3" t="inlineStr">
        <is>
          <t>여</t>
        </is>
      </c>
      <c r="C10" s="3" t="n">
        <v>33</v>
      </c>
      <c r="D10" s="3" t="n">
        <v>85</v>
      </c>
      <c r="E10" s="3">
        <f>IF(D10&gt;=LARGE($D$3:$D$12,2),"A",IF(D10&lt;=SMALL($D$3:$D$12,2),"C","B"))</f>
        <v/>
      </c>
      <c r="G10" s="3" t="inlineStr">
        <is>
          <t>허강민</t>
        </is>
      </c>
      <c r="H10" s="3" t="inlineStr">
        <is>
          <t>000229-3******</t>
        </is>
      </c>
      <c r="I10" s="3">
        <f>CHOOSE(MID(H10,8,1),"남","여","남","여")</f>
        <v/>
      </c>
    </row>
    <row r="11">
      <c r="A11" s="3" t="inlineStr">
        <is>
          <t>서지호</t>
        </is>
      </c>
      <c r="B11" s="3" t="inlineStr">
        <is>
          <t>남</t>
        </is>
      </c>
      <c r="C11" s="3" t="n">
        <v>38</v>
      </c>
      <c r="D11" s="3" t="n">
        <v>90</v>
      </c>
      <c r="E11" s="3">
        <f>IF(D11&gt;=LARGE($D$3:$D$12,2),"A",IF(D11&lt;=SMALL($D$3:$D$12,2),"C","B"))</f>
        <v/>
      </c>
    </row>
    <row r="12">
      <c r="A12" s="3" t="inlineStr">
        <is>
          <t>문가빈</t>
        </is>
      </c>
      <c r="B12" s="3" t="inlineStr">
        <is>
          <t>여</t>
        </is>
      </c>
      <c r="C12" s="3" t="n">
        <v>27</v>
      </c>
      <c r="D12" s="3" t="n">
        <v>64</v>
      </c>
      <c r="E12" s="3">
        <f>IF(D12&gt;=LARGE($D$3:$D$12,2),"A",IF(D12&lt;=SMALL($D$3:$D$12,2),"C","B"))</f>
        <v/>
      </c>
      <c r="G12" s="6" t="inlineStr">
        <is>
          <t>[표4] 자격증 시험 접수 현황</t>
        </is>
      </c>
    </row>
    <row r="13">
      <c r="G13" s="5" t="inlineStr">
        <is>
          <t>접수번호</t>
        </is>
      </c>
      <c r="H13" s="5" t="inlineStr">
        <is>
          <t>응시종목</t>
        </is>
      </c>
      <c r="I13" s="5" t="inlineStr">
        <is>
          <t>성명</t>
        </is>
      </c>
      <c r="J13" s="5" t="inlineStr">
        <is>
          <t>필기점수</t>
        </is>
      </c>
    </row>
    <row r="14">
      <c r="A14" s="6" t="inlineStr">
        <is>
          <t>[표3] 방과후 강좌 수강 현황</t>
        </is>
      </c>
      <c r="G14" s="3" t="inlineStr">
        <is>
          <t>R-01</t>
        </is>
      </c>
      <c r="H14" s="3" t="inlineStr">
        <is>
          <t>정보처리</t>
        </is>
      </c>
      <c r="I14" s="3" t="inlineStr">
        <is>
          <t>구민재</t>
        </is>
      </c>
      <c r="J14" s="3" t="n">
        <v>84</v>
      </c>
    </row>
    <row r="15">
      <c r="A15" s="5" t="inlineStr">
        <is>
          <t>강좌코드</t>
        </is>
      </c>
      <c r="B15" s="5" t="inlineStr">
        <is>
          <t>강좌명</t>
        </is>
      </c>
      <c r="C15" s="5" t="inlineStr">
        <is>
          <t>수강인원</t>
        </is>
      </c>
      <c r="D15" s="5" t="inlineStr">
        <is>
          <t>수강료</t>
        </is>
      </c>
      <c r="G15" s="3" t="inlineStr">
        <is>
          <t>R-02</t>
        </is>
      </c>
      <c r="H15" s="3" t="inlineStr">
        <is>
          <t>사무자동화</t>
        </is>
      </c>
      <c r="I15" s="3" t="inlineStr">
        <is>
          <t>나연우</t>
        </is>
      </c>
      <c r="J15" s="3" t="n">
        <v>78</v>
      </c>
    </row>
    <row r="16">
      <c r="A16" s="3" t="inlineStr">
        <is>
          <t>C1-01</t>
        </is>
      </c>
      <c r="B16" s="3" t="inlineStr">
        <is>
          <t>종이접기</t>
        </is>
      </c>
      <c r="C16" s="3" t="n">
        <v>12</v>
      </c>
      <c r="D16" s="3">
        <f>HLOOKUP(MID(A16,2,1)*1,$B$25:$D$26,2,TRUE)</f>
        <v/>
      </c>
      <c r="G16" s="3" t="inlineStr">
        <is>
          <t>R-03</t>
        </is>
      </c>
      <c r="H16" s="3" t="inlineStr">
        <is>
          <t>정보처리</t>
        </is>
      </c>
      <c r="I16" s="3" t="inlineStr">
        <is>
          <t>도예슬</t>
        </is>
      </c>
      <c r="J16" s="3" t="n">
        <v>91</v>
      </c>
    </row>
    <row r="17">
      <c r="A17" s="3" t="inlineStr">
        <is>
          <t>C5-02</t>
        </is>
      </c>
      <c r="B17" s="3" t="inlineStr">
        <is>
          <t>방송댄스</t>
        </is>
      </c>
      <c r="C17" s="3" t="n">
        <v>18</v>
      </c>
      <c r="D17" s="3">
        <f>HLOOKUP(MID(A17,2,1)*1,$B$25:$D$26,2,TRUE)</f>
        <v/>
      </c>
      <c r="G17" s="3" t="inlineStr">
        <is>
          <t>R-04</t>
        </is>
      </c>
      <c r="H17" s="3" t="inlineStr">
        <is>
          <t>워드프로세서</t>
        </is>
      </c>
      <c r="I17" s="3" t="inlineStr">
        <is>
          <t>류시현</t>
        </is>
      </c>
      <c r="J17" s="3" t="n">
        <v>66</v>
      </c>
    </row>
    <row r="18">
      <c r="A18" s="3" t="inlineStr">
        <is>
          <t>C8-03</t>
        </is>
      </c>
      <c r="B18" s="3" t="inlineStr">
        <is>
          <t>코딩기초</t>
        </is>
      </c>
      <c r="C18" s="3" t="n">
        <v>15</v>
      </c>
      <c r="D18" s="3">
        <f>HLOOKUP(MID(A18,2,1)*1,$B$25:$D$26,2,TRUE)</f>
        <v/>
      </c>
      <c r="G18" s="3" t="inlineStr">
        <is>
          <t>R-05</t>
        </is>
      </c>
      <c r="H18" s="3" t="inlineStr">
        <is>
          <t>사무자동화</t>
        </is>
      </c>
      <c r="I18" s="3" t="inlineStr">
        <is>
          <t>민준영</t>
        </is>
      </c>
      <c r="J18" s="3" t="n">
        <v>73</v>
      </c>
    </row>
    <row r="19">
      <c r="A19" s="3" t="inlineStr">
        <is>
          <t>C2-04</t>
        </is>
      </c>
      <c r="B19" s="3" t="inlineStr">
        <is>
          <t>동화구연</t>
        </is>
      </c>
      <c r="C19" s="3" t="n">
        <v>10</v>
      </c>
      <c r="D19" s="3">
        <f>HLOOKUP(MID(A19,2,1)*1,$B$25:$D$26,2,TRUE)</f>
        <v/>
      </c>
      <c r="G19" s="3" t="inlineStr">
        <is>
          <t>R-06</t>
        </is>
      </c>
      <c r="H19" s="3" t="inlineStr">
        <is>
          <t>사무자동화</t>
        </is>
      </c>
      <c r="I19" s="3" t="inlineStr">
        <is>
          <t>백하은</t>
        </is>
      </c>
      <c r="J19" s="3" t="n">
        <v>88</v>
      </c>
    </row>
    <row r="20">
      <c r="A20" s="3" t="inlineStr">
        <is>
          <t>C7-05</t>
        </is>
      </c>
      <c r="B20" s="3" t="inlineStr">
        <is>
          <t>로봇과학</t>
        </is>
      </c>
      <c r="C20" s="3" t="n">
        <v>20</v>
      </c>
      <c r="D20" s="3">
        <f>HLOOKUP(MID(A20,2,1)*1,$B$25:$D$26,2,TRUE)</f>
        <v/>
      </c>
      <c r="G20" s="3" t="inlineStr">
        <is>
          <t>R-07</t>
        </is>
      </c>
      <c r="H20" s="3" t="inlineStr">
        <is>
          <t>워드프로세서</t>
        </is>
      </c>
      <c r="I20" s="3" t="inlineStr">
        <is>
          <t>성지율</t>
        </is>
      </c>
      <c r="J20" s="3" t="n">
        <v>92</v>
      </c>
    </row>
    <row r="21">
      <c r="A21" s="3" t="inlineStr">
        <is>
          <t>C4-06</t>
        </is>
      </c>
      <c r="B21" s="3" t="inlineStr">
        <is>
          <t>창의미술</t>
        </is>
      </c>
      <c r="C21" s="3" t="n">
        <v>14</v>
      </c>
      <c r="D21" s="3">
        <f>HLOOKUP(MID(A21,2,1)*1,$B$25:$D$26,2,TRUE)</f>
        <v/>
      </c>
      <c r="G21" s="3" t="inlineStr">
        <is>
          <t>R-08</t>
        </is>
      </c>
      <c r="H21" s="3" t="inlineStr">
        <is>
          <t>정보처리</t>
        </is>
      </c>
      <c r="I21" s="3" t="inlineStr">
        <is>
          <t>심규리</t>
        </is>
      </c>
      <c r="J21" s="3" t="n">
        <v>79</v>
      </c>
    </row>
    <row r="22">
      <c r="A22" s="3" t="inlineStr">
        <is>
          <t>C6-07</t>
        </is>
      </c>
      <c r="B22" s="3" t="inlineStr">
        <is>
          <t>바이올린</t>
        </is>
      </c>
      <c r="C22" s="3" t="n">
        <v>8</v>
      </c>
      <c r="D22" s="3">
        <f>HLOOKUP(MID(A22,2,1)*1,$B$25:$D$26,2,TRUE)</f>
        <v/>
      </c>
    </row>
    <row r="23">
      <c r="A23" s="3" t="inlineStr">
        <is>
          <t>C3-08</t>
        </is>
      </c>
      <c r="B23" s="3" t="inlineStr">
        <is>
          <t>주산암산</t>
        </is>
      </c>
      <c r="C23" s="3" t="n">
        <v>11</v>
      </c>
      <c r="D23" s="3">
        <f>HLOOKUP(MID(A23,2,1)*1,$B$25:$D$26,2,TRUE)</f>
        <v/>
      </c>
      <c r="G23" s="6" t="inlineStr">
        <is>
          <t>정보처리 필기점수 평균</t>
        </is>
      </c>
      <c r="J23" s="3">
        <f>ROUND(DAVERAGE($G$13:$J$21,4,$H$13:$H$14),2)</f>
        <v/>
      </c>
    </row>
    <row r="24">
      <c r="A24" s="6" t="inlineStr">
        <is>
          <t>&lt;코드별 수강료표&gt;</t>
        </is>
      </c>
    </row>
    <row r="25">
      <c r="A25" s="7" t="inlineStr">
        <is>
          <t>코드번호</t>
        </is>
      </c>
      <c r="B25" s="7" t="n">
        <v>1</v>
      </c>
      <c r="C25" s="7" t="n">
        <v>4</v>
      </c>
      <c r="D25" s="7" t="n">
        <v>7</v>
      </c>
    </row>
    <row r="26">
      <c r="A26" s="8" t="inlineStr">
        <is>
          <t>수강료</t>
        </is>
      </c>
      <c r="B26" s="8" t="n">
        <v>30000</v>
      </c>
      <c r="C26" s="8" t="n">
        <v>45000</v>
      </c>
      <c r="D26" s="8" t="n">
        <v>60000</v>
      </c>
    </row>
    <row r="29">
      <c r="A29" s="6" t="inlineStr">
        <is>
          <t>[표5] 코코몰 주문 현황</t>
        </is>
      </c>
    </row>
    <row r="30">
      <c r="A30" s="5" t="inlineStr">
        <is>
          <t>고객명</t>
        </is>
      </c>
      <c r="B30" s="5" t="inlineStr">
        <is>
          <t>회원등급</t>
        </is>
      </c>
      <c r="C30" s="5" t="inlineStr">
        <is>
          <t>구매횟수</t>
        </is>
      </c>
      <c r="D30" s="5" t="inlineStr">
        <is>
          <t>주문금액</t>
        </is>
      </c>
    </row>
    <row r="31">
      <c r="A31" s="3" t="inlineStr">
        <is>
          <t>감우빈</t>
        </is>
      </c>
      <c r="B31" s="3" t="inlineStr">
        <is>
          <t>실버</t>
        </is>
      </c>
      <c r="C31" s="3" t="n">
        <v>12</v>
      </c>
      <c r="D31" s="3" t="n">
        <v>950000</v>
      </c>
    </row>
    <row r="32">
      <c r="A32" s="3" t="inlineStr">
        <is>
          <t>남도희</t>
        </is>
      </c>
      <c r="B32" s="3" t="inlineStr">
        <is>
          <t>골드</t>
        </is>
      </c>
      <c r="C32" s="3" t="n">
        <v>8</v>
      </c>
      <c r="D32" s="3" t="n">
        <v>720000</v>
      </c>
    </row>
    <row r="33">
      <c r="A33" s="3" t="inlineStr">
        <is>
          <t>두시아</t>
        </is>
      </c>
      <c r="B33" s="3" t="inlineStr">
        <is>
          <t>실버</t>
        </is>
      </c>
      <c r="C33" s="3" t="n">
        <v>15</v>
      </c>
      <c r="D33" s="3" t="n">
        <v>1230000</v>
      </c>
    </row>
    <row r="34">
      <c r="A34" s="3" t="inlineStr">
        <is>
          <t>류하준</t>
        </is>
      </c>
      <c r="B34" s="3" t="inlineStr">
        <is>
          <t>브론즈</t>
        </is>
      </c>
      <c r="C34" s="3" t="n">
        <v>5</v>
      </c>
      <c r="D34" s="3" t="n">
        <v>380000</v>
      </c>
    </row>
    <row r="35">
      <c r="A35" s="3" t="inlineStr">
        <is>
          <t>방예서</t>
        </is>
      </c>
      <c r="B35" s="3" t="inlineStr">
        <is>
          <t>골드</t>
        </is>
      </c>
      <c r="C35" s="3" t="n">
        <v>9</v>
      </c>
      <c r="D35" s="3" t="n">
        <v>860000</v>
      </c>
    </row>
    <row r="36">
      <c r="A36" s="3" t="inlineStr">
        <is>
          <t>석주은</t>
        </is>
      </c>
      <c r="B36" s="3" t="inlineStr">
        <is>
          <t>브론즈</t>
        </is>
      </c>
      <c r="C36" s="3" t="n">
        <v>7</v>
      </c>
      <c r="D36" s="3" t="n">
        <v>540000</v>
      </c>
    </row>
    <row r="37">
      <c r="A37" s="3" t="inlineStr">
        <is>
          <t>위서준</t>
        </is>
      </c>
      <c r="B37" s="3" t="inlineStr">
        <is>
          <t>골드</t>
        </is>
      </c>
      <c r="C37" s="3" t="n">
        <v>14</v>
      </c>
      <c r="D37" s="3" t="n">
        <v>1080000</v>
      </c>
    </row>
    <row r="38">
      <c r="A38" s="3" t="inlineStr">
        <is>
          <t>추가을</t>
        </is>
      </c>
      <c r="B38" s="3" t="inlineStr">
        <is>
          <t>실버</t>
        </is>
      </c>
      <c r="C38" s="3" t="n">
        <v>9</v>
      </c>
      <c r="D38" s="3" t="n">
        <v>790000</v>
      </c>
    </row>
    <row r="40">
      <c r="A40" s="6" t="inlineStr">
        <is>
          <t>우수 고객 수</t>
        </is>
      </c>
      <c r="D40" s="3">
        <f>COUNTIFS(D31:D38,"&gt;800000",C31:C38,"&gt;="&amp;AVERAGE(C31:C38))&amp;"명"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s="6" t="inlineStr">
        <is>
          <t>코코카페 음료 판매 현황</t>
        </is>
      </c>
    </row>
    <row r="3">
      <c r="A3" s="5" t="inlineStr">
        <is>
          <t>메뉴</t>
        </is>
      </c>
      <c r="B3" s="5" t="inlineStr">
        <is>
          <t>단가</t>
        </is>
      </c>
      <c r="C3" s="5" t="inlineStr">
        <is>
          <t>판매량</t>
        </is>
      </c>
      <c r="D3" s="5" t="inlineStr">
        <is>
          <t>판매액</t>
        </is>
      </c>
    </row>
    <row r="4">
      <c r="A4" s="3" t="inlineStr">
        <is>
          <t>아메리카노</t>
        </is>
      </c>
      <c r="B4" s="3" t="n">
        <v>4500</v>
      </c>
      <c r="C4" s="3" t="n">
        <v>120</v>
      </c>
      <c r="D4" s="3">
        <f>B4*C4</f>
        <v/>
      </c>
    </row>
    <row r="5">
      <c r="A5" s="3" t="inlineStr">
        <is>
          <t>카페라떼</t>
        </is>
      </c>
      <c r="B5" s="3" t="n">
        <v>5000</v>
      </c>
      <c r="C5" s="3" t="n">
        <v>132</v>
      </c>
      <c r="D5" s="3">
        <f>B5*C5</f>
        <v/>
      </c>
    </row>
    <row r="6">
      <c r="A6" s="3" t="inlineStr">
        <is>
          <t>바닐라라떼</t>
        </is>
      </c>
      <c r="B6" s="3" t="n">
        <v>5500</v>
      </c>
      <c r="C6" s="3" t="n">
        <v>120</v>
      </c>
      <c r="D6" s="3">
        <f>B6*C6</f>
        <v/>
      </c>
    </row>
    <row r="7">
      <c r="A7" s="3" t="inlineStr">
        <is>
          <t>녹차라떼</t>
        </is>
      </c>
      <c r="B7" s="3" t="n">
        <v>5300</v>
      </c>
      <c r="C7" s="3" t="n">
        <v>100</v>
      </c>
      <c r="D7" s="3">
        <f>B7*C7</f>
        <v/>
      </c>
    </row>
    <row r="8">
      <c r="A8" s="3" t="inlineStr">
        <is>
          <t>딸기스무디</t>
        </is>
      </c>
      <c r="B8" s="3" t="n">
        <v>6100</v>
      </c>
      <c r="C8" s="3" t="n">
        <v>100</v>
      </c>
      <c r="D8" s="3">
        <f>B8*C8</f>
        <v/>
      </c>
    </row>
    <row r="9">
      <c r="A9" s="5" t="inlineStr">
        <is>
          <t>평균</t>
        </is>
      </c>
      <c r="B9" s="9" t="n"/>
      <c r="C9" s="9" t="n"/>
      <c r="D9" s="3">
        <f>AVERAGE(D4:D8)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6" t="inlineStr">
        <is>
          <t>코코여행사 여행 상품 판매 현황</t>
        </is>
      </c>
    </row>
    <row r="3">
      <c r="A3" s="5" t="inlineStr">
        <is>
          <t>상품명</t>
        </is>
      </c>
      <c r="B3" s="5" t="inlineStr">
        <is>
          <t>지역</t>
        </is>
      </c>
      <c r="C3" s="5" t="inlineStr">
        <is>
          <t>예약인원</t>
        </is>
      </c>
      <c r="D3" s="5" t="inlineStr">
        <is>
          <t>출발횟수</t>
        </is>
      </c>
      <c r="E3" s="5" t="inlineStr">
        <is>
          <t>판매금액</t>
        </is>
      </c>
    </row>
    <row r="4">
      <c r="A4" s="3" t="inlineStr">
        <is>
          <t>다낭 휴양</t>
        </is>
      </c>
      <c r="B4" s="3" t="inlineStr">
        <is>
          <t>동남아</t>
        </is>
      </c>
      <c r="C4" s="3" t="n">
        <v>28</v>
      </c>
      <c r="D4" s="3" t="n">
        <v>7</v>
      </c>
      <c r="E4" s="3" t="n">
        <v>9800000</v>
      </c>
    </row>
    <row r="5">
      <c r="A5" s="3" t="inlineStr">
        <is>
          <t>푸켓 리조트</t>
        </is>
      </c>
      <c r="B5" s="3" t="inlineStr">
        <is>
          <t>동남아</t>
        </is>
      </c>
      <c r="C5" s="3" t="n">
        <v>20</v>
      </c>
      <c r="D5" s="3" t="n">
        <v>5</v>
      </c>
      <c r="E5" s="3" t="n">
        <v>9000000</v>
      </c>
    </row>
    <row r="6">
      <c r="A6" s="3" t="inlineStr">
        <is>
          <t>방콕 자유여행</t>
        </is>
      </c>
      <c r="B6" s="3" t="inlineStr">
        <is>
          <t>동남아</t>
        </is>
      </c>
      <c r="C6" s="3" t="n">
        <v>24</v>
      </c>
      <c r="D6" s="3" t="n">
        <v>6</v>
      </c>
      <c r="E6" s="3" t="n">
        <v>8400000</v>
      </c>
    </row>
    <row r="7">
      <c r="A7" s="3" t="inlineStr">
        <is>
          <t>세부 다이빙</t>
        </is>
      </c>
      <c r="B7" s="3" t="inlineStr">
        <is>
          <t>동남아</t>
        </is>
      </c>
      <c r="C7" s="3" t="n">
        <v>18</v>
      </c>
      <c r="D7" s="3" t="n">
        <v>5</v>
      </c>
      <c r="E7" s="3" t="n">
        <v>8100000</v>
      </c>
    </row>
    <row r="8">
      <c r="A8" s="3" t="inlineStr">
        <is>
          <t>로마 역사기행</t>
        </is>
      </c>
      <c r="B8" s="3" t="inlineStr">
        <is>
          <t>유럽</t>
        </is>
      </c>
      <c r="C8" s="3" t="n">
        <v>15</v>
      </c>
      <c r="D8" s="3" t="n">
        <v>4</v>
      </c>
      <c r="E8" s="3" t="n">
        <v>27000000</v>
      </c>
    </row>
    <row r="9">
      <c r="A9" s="3" t="inlineStr">
        <is>
          <t>파리 일주</t>
        </is>
      </c>
      <c r="B9" s="3" t="inlineStr">
        <is>
          <t>유럽</t>
        </is>
      </c>
      <c r="C9" s="3" t="n">
        <v>12</v>
      </c>
      <c r="D9" s="3" t="n">
        <v>3</v>
      </c>
      <c r="E9" s="3" t="n">
        <v>21600000</v>
      </c>
    </row>
    <row r="10">
      <c r="A10" s="3" t="inlineStr">
        <is>
          <t>런던 클래식</t>
        </is>
      </c>
      <c r="B10" s="3" t="inlineStr">
        <is>
          <t>유럽</t>
        </is>
      </c>
      <c r="C10" s="3" t="n">
        <v>10</v>
      </c>
      <c r="D10" s="3" t="n">
        <v>2</v>
      </c>
      <c r="E10" s="3" t="n">
        <v>19000000</v>
      </c>
    </row>
    <row r="11">
      <c r="A11" s="3" t="inlineStr">
        <is>
          <t>오사카 미식</t>
        </is>
      </c>
      <c r="B11" s="3" t="inlineStr">
        <is>
          <t>일본</t>
        </is>
      </c>
      <c r="C11" s="3" t="n">
        <v>30</v>
      </c>
      <c r="D11" s="3" t="n">
        <v>8</v>
      </c>
      <c r="E11" s="3" t="n">
        <v>13500000</v>
      </c>
    </row>
    <row r="12">
      <c r="A12" s="3" t="inlineStr">
        <is>
          <t>삿포로 설경</t>
        </is>
      </c>
      <c r="B12" s="3" t="inlineStr">
        <is>
          <t>일본</t>
        </is>
      </c>
      <c r="C12" s="3" t="n">
        <v>22</v>
      </c>
      <c r="D12" s="3" t="n">
        <v>6</v>
      </c>
      <c r="E12" s="3" t="n">
        <v>12100000</v>
      </c>
    </row>
    <row r="13">
      <c r="A13" s="3" t="inlineStr">
        <is>
          <t>도쿄 시티</t>
        </is>
      </c>
      <c r="B13" s="3" t="inlineStr">
        <is>
          <t>일본</t>
        </is>
      </c>
      <c r="C13" s="3" t="n">
        <v>26</v>
      </c>
      <c r="D13" s="3" t="n">
        <v>7</v>
      </c>
      <c r="E13" s="3" t="n">
        <v>11700000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코코베이커리 분기별 판매 현황</t>
        </is>
      </c>
    </row>
    <row r="3">
      <c r="A3" s="10" t="inlineStr">
        <is>
          <t>제품명</t>
        </is>
      </c>
      <c r="B3" s="10" t="inlineStr">
        <is>
          <t>1분기</t>
        </is>
      </c>
      <c r="C3" s="10" t="inlineStr">
        <is>
          <t>2분기</t>
        </is>
      </c>
      <c r="D3" s="10" t="inlineStr">
        <is>
          <t>3분기</t>
        </is>
      </c>
      <c r="E3" s="10" t="inlineStr">
        <is>
          <t>4분기</t>
        </is>
      </c>
      <c r="F3" s="10" t="inlineStr">
        <is>
          <t>합계</t>
        </is>
      </c>
    </row>
    <row r="4">
      <c r="A4" s="1" t="inlineStr">
        <is>
          <t>단팥빵</t>
        </is>
      </c>
      <c r="B4" s="1" t="n">
        <v>320</v>
      </c>
      <c r="C4" s="1" t="n">
        <v>290</v>
      </c>
      <c r="D4" s="1" t="n">
        <v>310</v>
      </c>
      <c r="E4" s="1" t="n">
        <v>350</v>
      </c>
      <c r="F4" s="1">
        <f>SUM(B4:E4)</f>
        <v/>
      </c>
    </row>
    <row r="5">
      <c r="A5" s="1" t="inlineStr">
        <is>
          <t>소금빵</t>
        </is>
      </c>
      <c r="B5" s="1" t="n">
        <v>410</v>
      </c>
      <c r="C5" s="1" t="n">
        <v>450</v>
      </c>
      <c r="D5" s="1" t="n">
        <v>480</v>
      </c>
      <c r="E5" s="1" t="n">
        <v>520</v>
      </c>
      <c r="F5" s="1">
        <f>SUM(B5:E5)</f>
        <v/>
      </c>
    </row>
    <row r="6">
      <c r="A6" s="1" t="inlineStr">
        <is>
          <t>크루아상</t>
        </is>
      </c>
      <c r="B6" s="1" t="n">
        <v>280</v>
      </c>
      <c r="C6" s="1" t="n">
        <v>300</v>
      </c>
      <c r="D6" s="1" t="n">
        <v>260</v>
      </c>
      <c r="E6" s="1" t="n">
        <v>310</v>
      </c>
      <c r="F6" s="1">
        <f>SUM(B6:E6)</f>
        <v/>
      </c>
    </row>
    <row r="7">
      <c r="A7" s="1" t="inlineStr">
        <is>
          <t>마카롱</t>
        </is>
      </c>
      <c r="B7" s="1" t="n">
        <v>150</v>
      </c>
      <c r="C7" s="1" t="n">
        <v>180</v>
      </c>
      <c r="D7" s="1" t="n">
        <v>210</v>
      </c>
      <c r="E7" s="1" t="n">
        <v>190</v>
      </c>
      <c r="F7" s="1">
        <f>SUM(B7:E7)</f>
        <v/>
      </c>
    </row>
    <row r="8">
      <c r="A8" s="1" t="inlineStr">
        <is>
          <t>식빵</t>
        </is>
      </c>
      <c r="B8" s="1" t="n">
        <v>360</v>
      </c>
      <c r="C8" s="1" t="n">
        <v>340</v>
      </c>
      <c r="D8" s="1" t="n">
        <v>330</v>
      </c>
      <c r="E8" s="1" t="n">
        <v>370</v>
      </c>
      <c r="F8" s="1">
        <f>SUM(B8:E8)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6" t="inlineStr">
        <is>
          <t>코코전자 지점별 매출 현황</t>
        </is>
      </c>
    </row>
    <row r="3">
      <c r="A3" s="5" t="inlineStr">
        <is>
          <t>지점명</t>
        </is>
      </c>
      <c r="B3" s="5" t="inlineStr">
        <is>
          <t>상반기</t>
        </is>
      </c>
      <c r="C3" s="5" t="inlineStr">
        <is>
          <t>하반기</t>
        </is>
      </c>
    </row>
    <row r="4">
      <c r="A4" s="3" t="inlineStr">
        <is>
          <t>강남</t>
        </is>
      </c>
      <c r="B4" s="3" t="n">
        <v>4200</v>
      </c>
      <c r="C4" s="3" t="n">
        <v>4800</v>
      </c>
    </row>
    <row r="5">
      <c r="A5" s="3" t="inlineStr">
        <is>
          <t>마포</t>
        </is>
      </c>
      <c r="B5" s="3" t="n">
        <v>3100</v>
      </c>
      <c r="C5" s="3" t="n">
        <v>3600</v>
      </c>
    </row>
    <row r="6">
      <c r="A6" s="3" t="inlineStr">
        <is>
          <t>분당</t>
        </is>
      </c>
      <c r="B6" s="3" t="n">
        <v>3800</v>
      </c>
      <c r="C6" s="3" t="n">
        <v>3500</v>
      </c>
    </row>
    <row r="7">
      <c r="A7" s="3" t="inlineStr">
        <is>
          <t>수원</t>
        </is>
      </c>
      <c r="B7" s="3" t="n">
        <v>2600</v>
      </c>
      <c r="C7" s="3" t="n">
        <v>3200</v>
      </c>
    </row>
    <row r="8">
      <c r="A8" s="3" t="inlineStr">
        <is>
          <t>일산</t>
        </is>
      </c>
      <c r="B8" s="3" t="n">
        <v>2900</v>
      </c>
      <c r="C8" s="3" t="n">
        <v>2700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2026-09-15T02:29:37Z</dcterms:created>
  <dcterms:modified xsi:type="dcterms:W3CDTF">2026-09-15T02:29:37Z</dcterms:modified>
</cp:coreProperties>
</file>